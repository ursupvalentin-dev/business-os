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Bills" sheetId="2" state="visible" r:id="rId2"/>
    <sheet name="Paycheck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4A3B35"/>
      <sz val="14"/>
    </font>
    <font>
      <name val="Calibri"/>
      <b val="1"/>
      <color rgb="004A3B35"/>
      <sz val="11"/>
    </font>
    <font>
      <name val="Calibri"/>
      <b val="1"/>
      <color rgb="004A3B35"/>
    </font>
    <font>
      <name val="Calibri"/>
      <b val="1"/>
      <color rgb="004A3B35"/>
      <sz val="10"/>
    </font>
    <font>
      <name val="Calibri"/>
      <b val="1"/>
      <color rgb="004A3B35"/>
      <sz val="18"/>
    </font>
  </fonts>
  <fills count="12">
    <fill>
      <patternFill/>
    </fill>
    <fill>
      <patternFill patternType="gray125"/>
    </fill>
    <fill>
      <patternFill patternType="solid">
        <fgColor rgb="00FAF1F3"/>
        <bgColor rgb="00FAF1F3"/>
      </patternFill>
    </fill>
    <fill>
      <patternFill patternType="solid">
        <fgColor rgb="00FFF4CC"/>
        <bgColor rgb="00FFF4CC"/>
      </patternFill>
    </fill>
    <fill>
      <patternFill patternType="solid">
        <fgColor rgb="00FDFBF3"/>
        <bgColor rgb="00FDFBF3"/>
      </patternFill>
    </fill>
    <fill>
      <patternFill patternType="solid">
        <fgColor rgb="00F6E5A8"/>
        <bgColor rgb="00F6E5A8"/>
      </patternFill>
    </fill>
    <fill>
      <patternFill patternType="solid">
        <fgColor rgb="00F4C0DB"/>
        <bgColor rgb="00F4C0DB"/>
      </patternFill>
    </fill>
    <fill>
      <patternFill patternType="solid">
        <fgColor rgb="00F8B6C2"/>
        <bgColor rgb="00F8B6C2"/>
      </patternFill>
    </fill>
    <fill>
      <patternFill patternType="solid">
        <fgColor rgb="00EAC6B8"/>
        <bgColor rgb="00EAC6B8"/>
      </patternFill>
    </fill>
    <fill>
      <patternFill patternType="solid">
        <fgColor rgb="007ED2B6"/>
        <bgColor rgb="007ED2B6"/>
      </patternFill>
    </fill>
    <fill>
      <patternFill patternType="solid">
        <fgColor rgb="0080D2DA"/>
        <bgColor rgb="0080D2DA"/>
      </patternFill>
    </fill>
    <fill>
      <patternFill patternType="solid">
        <fgColor rgb="00B9A4E7"/>
        <bgColor rgb="00B9A4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0" fillId="2" borderId="0" pivotButton="0" quotePrefix="0" xfId="0"/>
    <xf numFmtId="164" fontId="0" fillId="3" borderId="0" pivotButton="0" quotePrefix="0" xfId="0"/>
    <xf numFmtId="164" fontId="0" fillId="2" borderId="0" pivotButton="0" quotePrefix="0" xfId="0"/>
    <xf numFmtId="1" fontId="0" fillId="2" borderId="0" pivotButton="0" quotePrefix="0" xfId="0"/>
    <xf numFmtId="0" fontId="2" fillId="7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8" borderId="0" applyAlignment="1" pivotButton="0" quotePrefix="0" xfId="0">
      <alignment horizontal="center" vertical="center"/>
    </xf>
    <xf numFmtId="165" fontId="0" fillId="2" borderId="0" pivotButton="0" quotePrefix="0" xfId="0"/>
    <xf numFmtId="1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4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165" fontId="5" fillId="9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5" fillId="10" borderId="0" applyAlignment="1" pivotButton="0" quotePrefix="0" xfId="0">
      <alignment horizontal="center" vertical="center"/>
    </xf>
    <xf numFmtId="165" fontId="5" fillId="11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8" borderId="0" pivotButton="0" quotePrefix="0" xfId="0"/>
    <xf numFmtId="165" fontId="0" fillId="8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D4F1E8"/>
          <bgColor rgb="00D4F1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'Paychecks'!D1</f>
            </strRef>
          </tx>
          <spPr>
            <a:solidFill>
              <a:srgbClr val="7ED2B6"/>
            </a:solidFill>
            <a:ln>
              <a:prstDash val="solid"/>
            </a:ln>
          </spPr>
          <cat>
            <numRef>
              <f>'Paychecks'!$A$2:$A$27</f>
            </numRef>
          </cat>
          <val>
            <numRef>
              <f>'Paychecks'!$D$2:$D$27</f>
            </numRef>
          </val>
        </ser>
        <ser>
          <idx val="1"/>
          <order val="1"/>
          <tx>
            <strRef>
              <f>'Paychecks'!E1</f>
            </strRef>
          </tx>
          <spPr>
            <a:solidFill>
              <a:srgbClr val="F8B6C2"/>
            </a:solidFill>
            <a:ln>
              <a:prstDash val="solid"/>
            </a:ln>
          </spPr>
          <cat>
            <numRef>
              <f>'Paychecks'!$A$2:$A$27</f>
            </numRef>
          </cat>
          <val>
            <numRef>
              <f>'Paychecks'!$E$2:$E$27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7ED2B6"/>
              </a:solidFill>
              <a:ln>
                <a:prstDash val="solid"/>
              </a:ln>
            </spPr>
          </dPt>
          <dPt>
            <idx val="1"/>
            <spPr>
              <a:solidFill>
                <a:srgbClr val="F8B6C2"/>
              </a:solidFill>
              <a:ln>
                <a:prstDash val="solid"/>
              </a:ln>
            </spPr>
          </dPt>
          <dPt>
            <idx val="2"/>
            <spPr>
              <a:solidFill>
                <a:srgbClr val="80D2DA"/>
              </a:solidFill>
              <a:ln>
                <a:prstDash val="solid"/>
              </a:ln>
            </spPr>
          </dPt>
          <dPt>
            <idx val="3"/>
            <spPr>
              <a:solidFill>
                <a:srgbClr val="B9A4E7"/>
              </a:solidFill>
              <a:ln>
                <a:prstDash val="solid"/>
              </a:ln>
            </spPr>
          </dPt>
          <dPt>
            <idx val="4"/>
            <spPr>
              <a:solidFill>
                <a:srgbClr val="F6E5A8"/>
              </a:solidFill>
              <a:ln>
                <a:prstDash val="solid"/>
              </a:ln>
            </spPr>
          </dPt>
          <dPt>
            <idx val="5"/>
            <spPr>
              <a:solidFill>
                <a:srgbClr val="F4C0DB"/>
              </a:solidFill>
              <a:ln>
                <a:prstDash val="solid"/>
              </a:ln>
            </spPr>
          </dPt>
          <dPt>
            <idx val="6"/>
            <spPr>
              <a:solidFill>
                <a:srgbClr val="A3CEC5"/>
              </a:solidFill>
              <a:ln>
                <a:prstDash val="solid"/>
              </a:ln>
            </spPr>
          </dPt>
          <dPt>
            <idx val="7"/>
            <spPr>
              <a:solidFill>
                <a:srgbClr val="EAE9F4"/>
              </a:solidFill>
              <a:ln>
                <a:prstDash val="solid"/>
              </a:ln>
            </spPr>
          </dPt>
          <cat>
            <numRef>
              <f>'Dashboard'!$B$28:$B$35</f>
            </numRef>
          </cat>
          <val>
            <numRef>
              <f>'Dashboard'!$F$28:$F$35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300000" cy="36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26</row>
      <rowOff>0</rowOff>
    </from>
    <ext cx="30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8" customHeight="1"/>
  <cols>
    <col width="2.5" customWidth="1" min="1" max="1"/>
    <col width="72" customWidth="1" min="2" max="2"/>
    <col width="20" customWidth="1" min="3" max="3"/>
    <col width="2.5" customWidth="1" min="4" max="4"/>
  </cols>
  <sheetData>
    <row r="2">
      <c r="B2" s="1" t="inlineStr">
        <is>
          <t>B U D G E T   B Y   P A Y C H E C K</t>
        </is>
      </c>
    </row>
    <row r="4">
      <c r="B4" s="2" t="inlineStr">
        <is>
          <t>YOUR PAYDAYS</t>
        </is>
      </c>
    </row>
    <row r="5">
      <c r="B5" s="3" t="inlineStr">
        <is>
          <t>First payday (type your own date here)</t>
        </is>
      </c>
      <c r="C5" s="4">
        <f>DATE(2026,10,9)</f>
        <v/>
      </c>
    </row>
    <row r="6">
      <c r="B6" s="3" t="inlineStr">
        <is>
          <t>Last payday in this tracker</t>
        </is>
      </c>
      <c r="C6" s="5">
        <f>IF(AND(ISNUMBER(C5),C5&gt;=DATE(2000,1,1)),MAX(Paychecks!$B$2:$B$27),"")</f>
        <v/>
      </c>
    </row>
    <row r="7">
      <c r="B7" s="3" t="inlineStr">
        <is>
          <t>Extra paychecks in this window (3rd payday in a month)</t>
        </is>
      </c>
      <c r="C7" s="6">
        <f>IF(AND(ISNUMBER(C5),C5&gt;=DATE(2000,1,1)),COUNTIF(Paychecks!$C$2:$C$27,3),"")</f>
        <v/>
      </c>
    </row>
    <row r="9">
      <c r="B9" s="7" t="inlineStr">
        <is>
          <t>HOW TO USE</t>
        </is>
      </c>
    </row>
    <row r="10">
      <c r="B10" s="8" t="inlineStr">
        <is>
          <t>1. Set your first payday above; the other 25 paydays fill in every 14 days.</t>
        </is>
      </c>
      <c r="C10" s="8" t="n"/>
    </row>
    <row r="11">
      <c r="B11" s="8" t="inlineStr">
        <is>
          <t>2. Bills tab: list each monthly bill with its category, due day and amount.</t>
        </is>
      </c>
      <c r="C11" s="8" t="n"/>
    </row>
    <row r="12">
      <c r="B12" s="8" t="inlineStr">
        <is>
          <t>3. Tag each bill 1 or 2, the paycheck that arrives before it's due:</t>
        </is>
      </c>
      <c r="C12" s="8" t="n"/>
    </row>
    <row r="13">
      <c r="B13" s="8" t="inlineStr">
        <is>
          <t xml:space="preserve">      1 = first payday of the month (1st-14th), 2 = second payday (15th-28th).</t>
        </is>
      </c>
      <c r="C13" s="8" t="n"/>
    </row>
    <row r="14">
      <c r="B14" s="8" t="inlineStr">
        <is>
          <t xml:space="preserve">      Bills due the 1st-14th usually come out of the previous month's check 2.</t>
        </is>
      </c>
      <c r="C14" s="8" t="n"/>
    </row>
    <row r="15">
      <c r="B15" s="8" t="inlineStr">
        <is>
          <t xml:space="preserve">      A 3rd payday in a month is an extra paycheck: no bills come out of it.</t>
        </is>
      </c>
      <c r="C15" s="8" t="n"/>
    </row>
    <row r="16">
      <c r="B16" s="8" t="inlineStr">
        <is>
          <t>4. Paychecks tab: yellow cells are yours. Enter Take-Home Pay and Savings in dollars,</t>
        </is>
      </c>
      <c r="C16" s="8" t="n"/>
    </row>
    <row r="17">
      <c r="B17" s="8" t="inlineStr">
        <is>
          <t xml:space="preserve">      and log what you actually spend in Spent as each pay period goes by.</t>
        </is>
      </c>
      <c r="C17" s="8" t="n"/>
    </row>
    <row r="18">
      <c r="B18" s="8" t="inlineStr">
        <is>
          <t>5. Red cells flag something to fix. Keep the # column as is: it sets each date.</t>
        </is>
      </c>
      <c r="C18" s="8" t="n"/>
    </row>
    <row r="19">
      <c r="B19" s="8" t="inlineStr">
        <is>
          <t>6. Dashboard tab: totals for all 26 paychecks and your monthly bills by category.</t>
        </is>
      </c>
      <c r="C19" s="8" t="n"/>
    </row>
  </sheetData>
  <mergeCells count="3">
    <mergeCell ref="B4:C4"/>
    <mergeCell ref="B9:C9"/>
    <mergeCell ref="B2:C2"/>
  </mergeCells>
  <conditionalFormatting sqref="C5">
    <cfRule type="expression" priority="1" dxfId="0">
      <formula>NOT(AND(ISNUMBER($C$5),$C$5&gt;=DATE(2000,1,1)))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7" customWidth="1" min="4" max="4"/>
    <col width="20" customWidth="1" min="5" max="5"/>
  </cols>
  <sheetData>
    <row r="1">
      <c r="A1" s="9" t="inlineStr">
        <is>
          <t>Bill</t>
        </is>
      </c>
      <c r="B1" s="9" t="inlineStr">
        <is>
          <t>Category</t>
        </is>
      </c>
      <c r="C1" s="9" t="inlineStr">
        <is>
          <t>Due Day</t>
        </is>
      </c>
      <c r="D1" s="9" t="inlineStr">
        <is>
          <t>Monthly Amount</t>
        </is>
      </c>
      <c r="E1" s="9" t="inlineStr">
        <is>
          <t>Paid From Check #</t>
        </is>
      </c>
    </row>
    <row r="2">
      <c r="A2" s="3" t="inlineStr">
        <is>
          <t>Rent</t>
        </is>
      </c>
      <c r="B2" s="3" t="inlineStr">
        <is>
          <t>Housing</t>
        </is>
      </c>
      <c r="C2" s="6" t="n">
        <v>1</v>
      </c>
      <c r="D2" s="10" t="n">
        <v>1300</v>
      </c>
      <c r="E2" s="3" t="n">
        <v>2</v>
      </c>
    </row>
    <row r="3">
      <c r="A3" t="inlineStr">
        <is>
          <t>Internet</t>
        </is>
      </c>
      <c r="B3" t="inlineStr">
        <is>
          <t>Phone &amp; Internet</t>
        </is>
      </c>
      <c r="C3" s="11" t="n">
        <v>5</v>
      </c>
      <c r="D3" s="12" t="n">
        <v>70</v>
      </c>
      <c r="E3" t="n">
        <v>2</v>
      </c>
    </row>
    <row r="4">
      <c r="A4" s="3" t="inlineStr">
        <is>
          <t>Streaming services</t>
        </is>
      </c>
      <c r="B4" s="3" t="inlineStr">
        <is>
          <t>Subscriptions</t>
        </is>
      </c>
      <c r="C4" s="6" t="n">
        <v>8</v>
      </c>
      <c r="D4" s="10" t="n">
        <v>25</v>
      </c>
      <c r="E4" s="3" t="n">
        <v>2</v>
      </c>
    </row>
    <row r="5">
      <c r="A5" t="inlineStr">
        <is>
          <t>Student loan</t>
        </is>
      </c>
      <c r="B5" t="inlineStr">
        <is>
          <t>Debt</t>
        </is>
      </c>
      <c r="C5" s="11" t="n">
        <v>10</v>
      </c>
      <c r="D5" s="12" t="n">
        <v>180</v>
      </c>
      <c r="E5" t="n">
        <v>2</v>
      </c>
    </row>
    <row r="6">
      <c r="A6" s="3" t="inlineStr">
        <is>
          <t>Car payment</t>
        </is>
      </c>
      <c r="B6" s="3" t="inlineStr">
        <is>
          <t>Transportation</t>
        </is>
      </c>
      <c r="C6" s="6" t="n">
        <v>15</v>
      </c>
      <c r="D6" s="10" t="n">
        <v>340</v>
      </c>
      <c r="E6" s="3" t="n">
        <v>1</v>
      </c>
    </row>
    <row r="7">
      <c r="A7" t="inlineStr">
        <is>
          <t>Electric</t>
        </is>
      </c>
      <c r="B7" t="inlineStr">
        <is>
          <t>Utilities</t>
        </is>
      </c>
      <c r="C7" s="11" t="n">
        <v>18</v>
      </c>
      <c r="D7" s="12" t="n">
        <v>110</v>
      </c>
      <c r="E7" t="n">
        <v>1</v>
      </c>
    </row>
    <row r="8">
      <c r="A8" s="3" t="inlineStr">
        <is>
          <t>Phone</t>
        </is>
      </c>
      <c r="B8" s="3" t="inlineStr">
        <is>
          <t>Phone &amp; Internet</t>
        </is>
      </c>
      <c r="C8" s="6" t="n">
        <v>20</v>
      </c>
      <c r="D8" s="10" t="n">
        <v>65</v>
      </c>
      <c r="E8" s="3" t="n">
        <v>1</v>
      </c>
    </row>
    <row r="9">
      <c r="A9" t="inlineStr">
        <is>
          <t>Water &amp; trash</t>
        </is>
      </c>
      <c r="B9" t="inlineStr">
        <is>
          <t>Utilities</t>
        </is>
      </c>
      <c r="C9" s="11" t="n">
        <v>22</v>
      </c>
      <c r="D9" s="12" t="n">
        <v>55</v>
      </c>
      <c r="E9" t="n">
        <v>1</v>
      </c>
    </row>
    <row r="10">
      <c r="A10" s="3" t="inlineStr">
        <is>
          <t>Car insurance</t>
        </is>
      </c>
      <c r="B10" s="3" t="inlineStr">
        <is>
          <t>Insurance</t>
        </is>
      </c>
      <c r="C10" s="6" t="n">
        <v>25</v>
      </c>
      <c r="D10" s="10" t="n">
        <v>145</v>
      </c>
      <c r="E10" s="3" t="n">
        <v>1</v>
      </c>
    </row>
    <row r="11">
      <c r="A11" t="inlineStr">
        <is>
          <t>Credit card</t>
        </is>
      </c>
      <c r="B11" t="inlineStr">
        <is>
          <t>Debt</t>
        </is>
      </c>
      <c r="C11" s="11" t="n">
        <v>28</v>
      </c>
      <c r="D11" s="12" t="n">
        <v>150</v>
      </c>
      <c r="E11" t="n">
        <v>1</v>
      </c>
    </row>
    <row r="12">
      <c r="A12" s="3" t="inlineStr">
        <is>
          <t>Gym</t>
        </is>
      </c>
      <c r="B12" s="3" t="inlineStr">
        <is>
          <t>Subscriptions</t>
        </is>
      </c>
      <c r="C12" s="6" t="n">
        <v>28</v>
      </c>
      <c r="D12" s="10" t="n">
        <v>35</v>
      </c>
      <c r="E12" s="3" t="n">
        <v>1</v>
      </c>
    </row>
    <row r="13">
      <c r="C13" s="11" t="n"/>
      <c r="D13" s="12" t="n"/>
    </row>
    <row r="14">
      <c r="A14" s="3" t="n"/>
      <c r="B14" s="3" t="n"/>
      <c r="C14" s="6" t="n"/>
      <c r="D14" s="10" t="n"/>
      <c r="E14" s="3" t="n"/>
    </row>
    <row r="15">
      <c r="C15" s="11" t="n"/>
      <c r="D15" s="12" t="n"/>
    </row>
    <row r="16">
      <c r="A16" s="3" t="n"/>
      <c r="B16" s="3" t="n"/>
      <c r="C16" s="6" t="n"/>
      <c r="D16" s="10" t="n"/>
      <c r="E16" s="3" t="n"/>
    </row>
    <row r="17">
      <c r="C17" s="11" t="n"/>
      <c r="D17" s="12" t="n"/>
    </row>
    <row r="18">
      <c r="A18" s="3" t="n"/>
      <c r="B18" s="3" t="n"/>
      <c r="C18" s="6" t="n"/>
      <c r="D18" s="10" t="n"/>
      <c r="E18" s="3" t="n"/>
    </row>
    <row r="19">
      <c r="C19" s="11" t="n"/>
      <c r="D19" s="12" t="n"/>
    </row>
    <row r="20">
      <c r="A20" s="3" t="n"/>
      <c r="B20" s="3" t="n"/>
      <c r="C20" s="6" t="n"/>
      <c r="D20" s="10" t="n"/>
      <c r="E20" s="3" t="n"/>
    </row>
    <row r="21">
      <c r="C21" s="11" t="n"/>
      <c r="D21" s="12" t="n"/>
    </row>
    <row r="22">
      <c r="A22" s="3" t="n"/>
      <c r="B22" s="3" t="n"/>
      <c r="C22" s="6" t="n"/>
      <c r="D22" s="10" t="n"/>
      <c r="E22" s="3" t="n"/>
    </row>
    <row r="23">
      <c r="C23" s="11" t="n"/>
      <c r="D23" s="12" t="n"/>
    </row>
    <row r="24">
      <c r="A24" s="3" t="n"/>
      <c r="B24" s="3" t="n"/>
      <c r="C24" s="6" t="n"/>
      <c r="D24" s="10" t="n"/>
      <c r="E24" s="3" t="n"/>
    </row>
    <row r="25">
      <c r="C25" s="11" t="n"/>
      <c r="D25" s="12" t="n"/>
    </row>
    <row r="26">
      <c r="A26" s="3" t="n"/>
      <c r="B26" s="3" t="n"/>
      <c r="C26" s="6" t="n"/>
      <c r="D26" s="10" t="n"/>
      <c r="E26" s="3" t="n"/>
    </row>
    <row r="27">
      <c r="C27" s="11" t="n"/>
      <c r="D27" s="12" t="n"/>
    </row>
    <row r="28">
      <c r="A28" s="3" t="n"/>
      <c r="B28" s="3" t="n"/>
      <c r="C28" s="6" t="n"/>
      <c r="D28" s="10" t="n"/>
      <c r="E28" s="3" t="n"/>
    </row>
    <row r="29">
      <c r="C29" s="11" t="n"/>
      <c r="D29" s="12" t="n"/>
    </row>
    <row r="30">
      <c r="A30" s="3" t="n"/>
      <c r="B30" s="3" t="n"/>
      <c r="C30" s="6" t="n"/>
      <c r="D30" s="10" t="n"/>
      <c r="E30" s="3" t="n"/>
    </row>
    <row r="31">
      <c r="C31" s="11" t="n"/>
      <c r="D31" s="12" t="n"/>
    </row>
    <row r="32">
      <c r="A32" s="3" t="n"/>
      <c r="B32" s="3" t="n"/>
      <c r="C32" s="6" t="n"/>
      <c r="D32" s="10" t="n"/>
      <c r="E32" s="3" t="n"/>
    </row>
    <row r="33">
      <c r="C33" s="11" t="n"/>
      <c r="D33" s="12" t="n"/>
    </row>
    <row r="34">
      <c r="A34" s="3" t="n"/>
      <c r="B34" s="3" t="n"/>
      <c r="C34" s="6" t="n"/>
      <c r="D34" s="10" t="n"/>
      <c r="E34" s="3" t="n"/>
    </row>
    <row r="35">
      <c r="C35" s="11" t="n"/>
      <c r="D35" s="12" t="n"/>
    </row>
    <row r="36">
      <c r="A36" s="3" t="n"/>
      <c r="B36" s="3" t="n"/>
      <c r="C36" s="6" t="n"/>
      <c r="D36" s="10" t="n"/>
      <c r="E36" s="3" t="n"/>
    </row>
    <row r="37">
      <c r="C37" s="11" t="n"/>
      <c r="D37" s="12" t="n"/>
    </row>
    <row r="38">
      <c r="A38" s="3" t="n"/>
      <c r="B38" s="3" t="n"/>
      <c r="C38" s="6" t="n"/>
      <c r="D38" s="10" t="n"/>
      <c r="E38" s="3" t="n"/>
    </row>
    <row r="39">
      <c r="C39" s="11" t="n"/>
      <c r="D39" s="12" t="n"/>
    </row>
    <row r="40">
      <c r="A40" s="3" t="n"/>
      <c r="B40" s="3" t="n"/>
      <c r="C40" s="6" t="n"/>
      <c r="D40" s="10" t="n"/>
      <c r="E40" s="3" t="n"/>
    </row>
    <row r="41">
      <c r="C41" s="11" t="n"/>
      <c r="D41" s="12" t="n"/>
    </row>
  </sheetData>
  <conditionalFormatting sqref="E1:E5000">
    <cfRule type="expression" priority="1" dxfId="0">
      <formula>AND(ISNUMBER($D1),COUNTIF($E1,1)+COUNTIF($E1,2)=0)</formula>
    </cfRule>
  </conditionalFormatting>
  <conditionalFormatting sqref="D1:D5000">
    <cfRule type="expression" priority="2" dxfId="0">
      <formula>OR(AND(ROW()&gt;ROW($D$1),$D1&lt;&gt;"",NOT(ISNUMBER($D1))),AND(ISNUMBER($D1),$D1&lt;0))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9" customWidth="1" min="3" max="3"/>
    <col width="16" customWidth="1" min="4" max="4"/>
    <col width="13" customWidth="1" min="5" max="5"/>
    <col width="12" customWidth="1" min="6" max="6"/>
    <col width="15" customWidth="1" min="7" max="7"/>
    <col width="12" customWidth="1" min="8" max="8"/>
    <col width="13" customWidth="1" min="9" max="9"/>
    <col width="46" customWidth="1" min="10" max="10"/>
  </cols>
  <sheetData>
    <row r="1">
      <c r="A1" s="9" t="inlineStr">
        <is>
          <t>#</t>
        </is>
      </c>
      <c r="B1" s="9" t="inlineStr">
        <is>
          <t>Payday</t>
        </is>
      </c>
      <c r="C1" s="9" t="inlineStr">
        <is>
          <t>Check # in Month</t>
        </is>
      </c>
      <c r="D1" s="9" t="inlineStr">
        <is>
          <t>Take-Home Pay</t>
        </is>
      </c>
      <c r="E1" s="9" t="inlineStr">
        <is>
          <t>Bills Due</t>
        </is>
      </c>
      <c r="F1" s="9" t="inlineStr">
        <is>
          <t>Savings</t>
        </is>
      </c>
      <c r="G1" s="9" t="inlineStr">
        <is>
          <t>Left to Spend</t>
        </is>
      </c>
      <c r="H1" s="9" t="inlineStr">
        <is>
          <t>Spent</t>
        </is>
      </c>
      <c r="I1" s="9" t="inlineStr">
        <is>
          <t>Remaining</t>
        </is>
      </c>
      <c r="J1" s="9" t="inlineStr">
        <is>
          <t>Note</t>
        </is>
      </c>
    </row>
    <row r="2">
      <c r="A2" s="6" t="n">
        <v>1</v>
      </c>
      <c r="B2" s="5">
        <f>IF(AND(ISNUMBER('Start Here'!$C$5),'Start Here'!$C$5&gt;=DATE(2000,1,1)),'Start Here'!$C$5+14*(A2-1),"")</f>
        <v/>
      </c>
      <c r="C2" s="6">
        <f>IF(B2="","",INT((DAY(B2)-1)/14)+1)</f>
        <v/>
      </c>
      <c r="D2" s="13" t="n">
        <v>2250</v>
      </c>
      <c r="E2" s="10">
        <f>IF(OR(C2="",C2=3),0,SUMIF(Bills!$E:$E,C2,Bills!$D:$D))</f>
        <v/>
      </c>
      <c r="F2" s="13" t="n">
        <v>150</v>
      </c>
      <c r="G2" s="10">
        <f>IF(ISNUMBER(D2),D2,0)-E2-IF(ISNUMBER(F2),F2,0)</f>
        <v/>
      </c>
      <c r="H2" s="13" t="n"/>
      <c r="I2" s="10">
        <f>IF(H2="","",IF(ISNUMBER(H2),ROUND(G2-H2,2),"Not a number"))</f>
        <v/>
      </c>
      <c r="J2" s="3">
        <f>IF(B2="","Set your first payday on Start Here",IF(D2="","Enter take-home pay",IF(OR(NOT(ISNUMBER(D2)),D2&lt;0,AND(F2&lt;&gt;"",NOT(ISNUMBER(F2))),AND(ISNUMBER(F2),F2&lt;0)),"Pay and savings must be numbers, not text or negatives",IF(ROUND(G2,2)&lt;0,"Short: bills + savings exceed pay",IF(C2=3,"Extra paycheck: no bills due","")))))</f>
        <v/>
      </c>
    </row>
    <row r="3">
      <c r="A3" s="11" t="n">
        <v>2</v>
      </c>
      <c r="B3" s="14">
        <f>IF(AND(ISNUMBER('Start Here'!$C$5),'Start Here'!$C$5&gt;=DATE(2000,1,1)),'Start Here'!$C$5+14*(A3-1),"")</f>
        <v/>
      </c>
      <c r="C3" s="11">
        <f>IF(B3="","",INT((DAY(B3)-1)/14)+1)</f>
        <v/>
      </c>
      <c r="D3" s="13" t="n">
        <v>2250</v>
      </c>
      <c r="E3" s="12">
        <f>IF(OR(C3="",C3=3),0,SUMIF(Bills!$E:$E,C3,Bills!$D:$D))</f>
        <v/>
      </c>
      <c r="F3" s="13" t="n">
        <v>150</v>
      </c>
      <c r="G3" s="12">
        <f>IF(ISNUMBER(D3),D3,0)-E3-IF(ISNUMBER(F3),F3,0)</f>
        <v/>
      </c>
      <c r="H3" s="13" t="n"/>
      <c r="I3" s="12">
        <f>IF(H3="","",IF(ISNUMBER(H3),ROUND(G3-H3,2),"Not a number"))</f>
        <v/>
      </c>
      <c r="J3">
        <f>IF(B3="","Set your first payday on Start Here",IF(D3="","Enter take-home pay",IF(OR(NOT(ISNUMBER(D3)),D3&lt;0,AND(F3&lt;&gt;"",NOT(ISNUMBER(F3))),AND(ISNUMBER(F3),F3&lt;0)),"Pay and savings must be numbers, not text or negatives",IF(ROUND(G3,2)&lt;0,"Short: bills + savings exceed pay",IF(C3=3,"Extra paycheck: no bills due","")))))</f>
        <v/>
      </c>
    </row>
    <row r="4">
      <c r="A4" s="6" t="n">
        <v>3</v>
      </c>
      <c r="B4" s="5">
        <f>IF(AND(ISNUMBER('Start Here'!$C$5),'Start Here'!$C$5&gt;=DATE(2000,1,1)),'Start Here'!$C$5+14*(A4-1),"")</f>
        <v/>
      </c>
      <c r="C4" s="6">
        <f>IF(B4="","",INT((DAY(B4)-1)/14)+1)</f>
        <v/>
      </c>
      <c r="D4" s="13" t="n">
        <v>2250</v>
      </c>
      <c r="E4" s="10">
        <f>IF(OR(C4="",C4=3),0,SUMIF(Bills!$E:$E,C4,Bills!$D:$D))</f>
        <v/>
      </c>
      <c r="F4" s="13" t="n">
        <v>150</v>
      </c>
      <c r="G4" s="10">
        <f>IF(ISNUMBER(D4),D4,0)-E4-IF(ISNUMBER(F4),F4,0)</f>
        <v/>
      </c>
      <c r="H4" s="13" t="n"/>
      <c r="I4" s="10">
        <f>IF(H4="","",IF(ISNUMBER(H4),ROUND(G4-H4,2),"Not a number"))</f>
        <v/>
      </c>
      <c r="J4" s="3">
        <f>IF(B4="","Set your first payday on Start Here",IF(D4="","Enter take-home pay",IF(OR(NOT(ISNUMBER(D4)),D4&lt;0,AND(F4&lt;&gt;"",NOT(ISNUMBER(F4))),AND(ISNUMBER(F4),F4&lt;0)),"Pay and savings must be numbers, not text or negatives",IF(ROUND(G4,2)&lt;0,"Short: bills + savings exceed pay",IF(C4=3,"Extra paycheck: no bills due","")))))</f>
        <v/>
      </c>
    </row>
    <row r="5">
      <c r="A5" s="11" t="n">
        <v>4</v>
      </c>
      <c r="B5" s="14">
        <f>IF(AND(ISNUMBER('Start Here'!$C$5),'Start Here'!$C$5&gt;=DATE(2000,1,1)),'Start Here'!$C$5+14*(A5-1),"")</f>
        <v/>
      </c>
      <c r="C5" s="11">
        <f>IF(B5="","",INT((DAY(B5)-1)/14)+1)</f>
        <v/>
      </c>
      <c r="D5" s="13" t="n">
        <v>2250</v>
      </c>
      <c r="E5" s="12">
        <f>IF(OR(C5="",C5=3),0,SUMIF(Bills!$E:$E,C5,Bills!$D:$D))</f>
        <v/>
      </c>
      <c r="F5" s="13" t="n">
        <v>150</v>
      </c>
      <c r="G5" s="12">
        <f>IF(ISNUMBER(D5),D5,0)-E5-IF(ISNUMBER(F5),F5,0)</f>
        <v/>
      </c>
      <c r="H5" s="13" t="n"/>
      <c r="I5" s="12">
        <f>IF(H5="","",IF(ISNUMBER(H5),ROUND(G5-H5,2),"Not a number"))</f>
        <v/>
      </c>
      <c r="J5">
        <f>IF(B5="","Set your first payday on Start Here",IF(D5="","Enter take-home pay",IF(OR(NOT(ISNUMBER(D5)),D5&lt;0,AND(F5&lt;&gt;"",NOT(ISNUMBER(F5))),AND(ISNUMBER(F5),F5&lt;0)),"Pay and savings must be numbers, not text or negatives",IF(ROUND(G5,2)&lt;0,"Short: bills + savings exceed pay",IF(C5=3,"Extra paycheck: no bills due","")))))</f>
        <v/>
      </c>
    </row>
    <row r="6">
      <c r="A6" s="6" t="n">
        <v>5</v>
      </c>
      <c r="B6" s="5">
        <f>IF(AND(ISNUMBER('Start Here'!$C$5),'Start Here'!$C$5&gt;=DATE(2000,1,1)),'Start Here'!$C$5+14*(A6-1),"")</f>
        <v/>
      </c>
      <c r="C6" s="6">
        <f>IF(B6="","",INT((DAY(B6)-1)/14)+1)</f>
        <v/>
      </c>
      <c r="D6" s="13" t="n">
        <v>2250</v>
      </c>
      <c r="E6" s="10">
        <f>IF(OR(C6="",C6=3),0,SUMIF(Bills!$E:$E,C6,Bills!$D:$D))</f>
        <v/>
      </c>
      <c r="F6" s="13" t="n">
        <v>150</v>
      </c>
      <c r="G6" s="10">
        <f>IF(ISNUMBER(D6),D6,0)-E6-IF(ISNUMBER(F6),F6,0)</f>
        <v/>
      </c>
      <c r="H6" s="13" t="n"/>
      <c r="I6" s="10">
        <f>IF(H6="","",IF(ISNUMBER(H6),ROUND(G6-H6,2),"Not a number"))</f>
        <v/>
      </c>
      <c r="J6" s="3">
        <f>IF(B6="","Set your first payday on Start Here",IF(D6="","Enter take-home pay",IF(OR(NOT(ISNUMBER(D6)),D6&lt;0,AND(F6&lt;&gt;"",NOT(ISNUMBER(F6))),AND(ISNUMBER(F6),F6&lt;0)),"Pay and savings must be numbers, not text or negatives",IF(ROUND(G6,2)&lt;0,"Short: bills + savings exceed pay",IF(C6=3,"Extra paycheck: no bills due","")))))</f>
        <v/>
      </c>
    </row>
    <row r="7">
      <c r="A7" s="11" t="n">
        <v>6</v>
      </c>
      <c r="B7" s="14">
        <f>IF(AND(ISNUMBER('Start Here'!$C$5),'Start Here'!$C$5&gt;=DATE(2000,1,1)),'Start Here'!$C$5+14*(A7-1),"")</f>
        <v/>
      </c>
      <c r="C7" s="11">
        <f>IF(B7="","",INT((DAY(B7)-1)/14)+1)</f>
        <v/>
      </c>
      <c r="D7" s="13" t="n">
        <v>2250</v>
      </c>
      <c r="E7" s="12">
        <f>IF(OR(C7="",C7=3),0,SUMIF(Bills!$E:$E,C7,Bills!$D:$D))</f>
        <v/>
      </c>
      <c r="F7" s="13" t="n">
        <v>150</v>
      </c>
      <c r="G7" s="12">
        <f>IF(ISNUMBER(D7),D7,0)-E7-IF(ISNUMBER(F7),F7,0)</f>
        <v/>
      </c>
      <c r="H7" s="13" t="n"/>
      <c r="I7" s="12">
        <f>IF(H7="","",IF(ISNUMBER(H7),ROUND(G7-H7,2),"Not a number"))</f>
        <v/>
      </c>
      <c r="J7">
        <f>IF(B7="","Set your first payday on Start Here",IF(D7="","Enter take-home pay",IF(OR(NOT(ISNUMBER(D7)),D7&lt;0,AND(F7&lt;&gt;"",NOT(ISNUMBER(F7))),AND(ISNUMBER(F7),F7&lt;0)),"Pay and savings must be numbers, not text or negatives",IF(ROUND(G7,2)&lt;0,"Short: bills + savings exceed pay",IF(C7=3,"Extra paycheck: no bills due","")))))</f>
        <v/>
      </c>
    </row>
    <row r="8">
      <c r="A8" s="6" t="n">
        <v>7</v>
      </c>
      <c r="B8" s="5">
        <f>IF(AND(ISNUMBER('Start Here'!$C$5),'Start Here'!$C$5&gt;=DATE(2000,1,1)),'Start Here'!$C$5+14*(A8-1),"")</f>
        <v/>
      </c>
      <c r="C8" s="6">
        <f>IF(B8="","",INT((DAY(B8)-1)/14)+1)</f>
        <v/>
      </c>
      <c r="D8" s="13" t="n">
        <v>2250</v>
      </c>
      <c r="E8" s="10">
        <f>IF(OR(C8="",C8=3),0,SUMIF(Bills!$E:$E,C8,Bills!$D:$D))</f>
        <v/>
      </c>
      <c r="F8" s="13" t="n">
        <v>150</v>
      </c>
      <c r="G8" s="10">
        <f>IF(ISNUMBER(D8),D8,0)-E8-IF(ISNUMBER(F8),F8,0)</f>
        <v/>
      </c>
      <c r="H8" s="13" t="n"/>
      <c r="I8" s="10">
        <f>IF(H8="","",IF(ISNUMBER(H8),ROUND(G8-H8,2),"Not a number"))</f>
        <v/>
      </c>
      <c r="J8" s="3">
        <f>IF(B8="","Set your first payday on Start Here",IF(D8="","Enter take-home pay",IF(OR(NOT(ISNUMBER(D8)),D8&lt;0,AND(F8&lt;&gt;"",NOT(ISNUMBER(F8))),AND(ISNUMBER(F8),F8&lt;0)),"Pay and savings must be numbers, not text or negatives",IF(ROUND(G8,2)&lt;0,"Short: bills + savings exceed pay",IF(C8=3,"Extra paycheck: no bills due","")))))</f>
        <v/>
      </c>
    </row>
    <row r="9">
      <c r="A9" s="11" t="n">
        <v>8</v>
      </c>
      <c r="B9" s="14">
        <f>IF(AND(ISNUMBER('Start Here'!$C$5),'Start Here'!$C$5&gt;=DATE(2000,1,1)),'Start Here'!$C$5+14*(A9-1),"")</f>
        <v/>
      </c>
      <c r="C9" s="11">
        <f>IF(B9="","",INT((DAY(B9)-1)/14)+1)</f>
        <v/>
      </c>
      <c r="D9" s="13" t="n">
        <v>2250</v>
      </c>
      <c r="E9" s="12">
        <f>IF(OR(C9="",C9=3),0,SUMIF(Bills!$E:$E,C9,Bills!$D:$D))</f>
        <v/>
      </c>
      <c r="F9" s="13" t="n">
        <v>150</v>
      </c>
      <c r="G9" s="12">
        <f>IF(ISNUMBER(D9),D9,0)-E9-IF(ISNUMBER(F9),F9,0)</f>
        <v/>
      </c>
      <c r="H9" s="13" t="n"/>
      <c r="I9" s="12">
        <f>IF(H9="","",IF(ISNUMBER(H9),ROUND(G9-H9,2),"Not a number"))</f>
        <v/>
      </c>
      <c r="J9">
        <f>IF(B9="","Set your first payday on Start Here",IF(D9="","Enter take-home pay",IF(OR(NOT(ISNUMBER(D9)),D9&lt;0,AND(F9&lt;&gt;"",NOT(ISNUMBER(F9))),AND(ISNUMBER(F9),F9&lt;0)),"Pay and savings must be numbers, not text or negatives",IF(ROUND(G9,2)&lt;0,"Short: bills + savings exceed pay",IF(C9=3,"Extra paycheck: no bills due","")))))</f>
        <v/>
      </c>
    </row>
    <row r="10">
      <c r="A10" s="6" t="n">
        <v>9</v>
      </c>
      <c r="B10" s="5">
        <f>IF(AND(ISNUMBER('Start Here'!$C$5),'Start Here'!$C$5&gt;=DATE(2000,1,1)),'Start Here'!$C$5+14*(A10-1),"")</f>
        <v/>
      </c>
      <c r="C10" s="6">
        <f>IF(B10="","",INT((DAY(B10)-1)/14)+1)</f>
        <v/>
      </c>
      <c r="D10" s="13" t="n">
        <v>2250</v>
      </c>
      <c r="E10" s="10">
        <f>IF(OR(C10="",C10=3),0,SUMIF(Bills!$E:$E,C10,Bills!$D:$D))</f>
        <v/>
      </c>
      <c r="F10" s="13" t="n">
        <v>150</v>
      </c>
      <c r="G10" s="10">
        <f>IF(ISNUMBER(D10),D10,0)-E10-IF(ISNUMBER(F10),F10,0)</f>
        <v/>
      </c>
      <c r="H10" s="13" t="n"/>
      <c r="I10" s="10">
        <f>IF(H10="","",IF(ISNUMBER(H10),ROUND(G10-H10,2),"Not a number"))</f>
        <v/>
      </c>
      <c r="J10" s="3">
        <f>IF(B10="","Set your first payday on Start Here",IF(D10="","Enter take-home pay",IF(OR(NOT(ISNUMBER(D10)),D10&lt;0,AND(F10&lt;&gt;"",NOT(ISNUMBER(F10))),AND(ISNUMBER(F10),F10&lt;0)),"Pay and savings must be numbers, not text or negatives",IF(ROUND(G10,2)&lt;0,"Short: bills + savings exceed pay",IF(C10=3,"Extra paycheck: no bills due","")))))</f>
        <v/>
      </c>
    </row>
    <row r="11">
      <c r="A11" s="11" t="n">
        <v>10</v>
      </c>
      <c r="B11" s="14">
        <f>IF(AND(ISNUMBER('Start Here'!$C$5),'Start Here'!$C$5&gt;=DATE(2000,1,1)),'Start Here'!$C$5+14*(A11-1),"")</f>
        <v/>
      </c>
      <c r="C11" s="11">
        <f>IF(B11="","",INT((DAY(B11)-1)/14)+1)</f>
        <v/>
      </c>
      <c r="D11" s="13" t="n">
        <v>2250</v>
      </c>
      <c r="E11" s="12">
        <f>IF(OR(C11="",C11=3),0,SUMIF(Bills!$E:$E,C11,Bills!$D:$D))</f>
        <v/>
      </c>
      <c r="F11" s="13" t="n">
        <v>150</v>
      </c>
      <c r="G11" s="12">
        <f>IF(ISNUMBER(D11),D11,0)-E11-IF(ISNUMBER(F11),F11,0)</f>
        <v/>
      </c>
      <c r="H11" s="13" t="n"/>
      <c r="I11" s="12">
        <f>IF(H11="","",IF(ISNUMBER(H11),ROUND(G11-H11,2),"Not a number"))</f>
        <v/>
      </c>
      <c r="J11">
        <f>IF(B11="","Set your first payday on Start Here",IF(D11="","Enter take-home pay",IF(OR(NOT(ISNUMBER(D11)),D11&lt;0,AND(F11&lt;&gt;"",NOT(ISNUMBER(F11))),AND(ISNUMBER(F11),F11&lt;0)),"Pay and savings must be numbers, not text or negatives",IF(ROUND(G11,2)&lt;0,"Short: bills + savings exceed pay",IF(C11=3,"Extra paycheck: no bills due","")))))</f>
        <v/>
      </c>
    </row>
    <row r="12">
      <c r="A12" s="6" t="n">
        <v>11</v>
      </c>
      <c r="B12" s="5">
        <f>IF(AND(ISNUMBER('Start Here'!$C$5),'Start Here'!$C$5&gt;=DATE(2000,1,1)),'Start Here'!$C$5+14*(A12-1),"")</f>
        <v/>
      </c>
      <c r="C12" s="6">
        <f>IF(B12="","",INT((DAY(B12)-1)/14)+1)</f>
        <v/>
      </c>
      <c r="D12" s="13" t="n">
        <v>2250</v>
      </c>
      <c r="E12" s="10">
        <f>IF(OR(C12="",C12=3),0,SUMIF(Bills!$E:$E,C12,Bills!$D:$D))</f>
        <v/>
      </c>
      <c r="F12" s="13" t="n">
        <v>150</v>
      </c>
      <c r="G12" s="10">
        <f>IF(ISNUMBER(D12),D12,0)-E12-IF(ISNUMBER(F12),F12,0)</f>
        <v/>
      </c>
      <c r="H12" s="13" t="n"/>
      <c r="I12" s="10">
        <f>IF(H12="","",IF(ISNUMBER(H12),ROUND(G12-H12,2),"Not a number"))</f>
        <v/>
      </c>
      <c r="J12" s="3">
        <f>IF(B12="","Set your first payday on Start Here",IF(D12="","Enter take-home pay",IF(OR(NOT(ISNUMBER(D12)),D12&lt;0,AND(F12&lt;&gt;"",NOT(ISNUMBER(F12))),AND(ISNUMBER(F12),F12&lt;0)),"Pay and savings must be numbers, not text or negatives",IF(ROUND(G12,2)&lt;0,"Short: bills + savings exceed pay",IF(C12=3,"Extra paycheck: no bills due","")))))</f>
        <v/>
      </c>
    </row>
    <row r="13">
      <c r="A13" s="11" t="n">
        <v>12</v>
      </c>
      <c r="B13" s="14">
        <f>IF(AND(ISNUMBER('Start Here'!$C$5),'Start Here'!$C$5&gt;=DATE(2000,1,1)),'Start Here'!$C$5+14*(A13-1),"")</f>
        <v/>
      </c>
      <c r="C13" s="11">
        <f>IF(B13="","",INT((DAY(B13)-1)/14)+1)</f>
        <v/>
      </c>
      <c r="D13" s="13" t="n">
        <v>2250</v>
      </c>
      <c r="E13" s="12">
        <f>IF(OR(C13="",C13=3),0,SUMIF(Bills!$E:$E,C13,Bills!$D:$D))</f>
        <v/>
      </c>
      <c r="F13" s="13" t="n">
        <v>150</v>
      </c>
      <c r="G13" s="12">
        <f>IF(ISNUMBER(D13),D13,0)-E13-IF(ISNUMBER(F13),F13,0)</f>
        <v/>
      </c>
      <c r="H13" s="13" t="n"/>
      <c r="I13" s="12">
        <f>IF(H13="","",IF(ISNUMBER(H13),ROUND(G13-H13,2),"Not a number"))</f>
        <v/>
      </c>
      <c r="J13">
        <f>IF(B13="","Set your first payday on Start Here",IF(D13="","Enter take-home pay",IF(OR(NOT(ISNUMBER(D13)),D13&lt;0,AND(F13&lt;&gt;"",NOT(ISNUMBER(F13))),AND(ISNUMBER(F13),F13&lt;0)),"Pay and savings must be numbers, not text or negatives",IF(ROUND(G13,2)&lt;0,"Short: bills + savings exceed pay",IF(C13=3,"Extra paycheck: no bills due","")))))</f>
        <v/>
      </c>
    </row>
    <row r="14">
      <c r="A14" s="6" t="n">
        <v>13</v>
      </c>
      <c r="B14" s="5">
        <f>IF(AND(ISNUMBER('Start Here'!$C$5),'Start Here'!$C$5&gt;=DATE(2000,1,1)),'Start Here'!$C$5+14*(A14-1),"")</f>
        <v/>
      </c>
      <c r="C14" s="6">
        <f>IF(B14="","",INT((DAY(B14)-1)/14)+1)</f>
        <v/>
      </c>
      <c r="D14" s="13" t="n">
        <v>2250</v>
      </c>
      <c r="E14" s="10">
        <f>IF(OR(C14="",C14=3),0,SUMIF(Bills!$E:$E,C14,Bills!$D:$D))</f>
        <v/>
      </c>
      <c r="F14" s="13" t="n">
        <v>150</v>
      </c>
      <c r="G14" s="10">
        <f>IF(ISNUMBER(D14),D14,0)-E14-IF(ISNUMBER(F14),F14,0)</f>
        <v/>
      </c>
      <c r="H14" s="13" t="n"/>
      <c r="I14" s="10">
        <f>IF(H14="","",IF(ISNUMBER(H14),ROUND(G14-H14,2),"Not a number"))</f>
        <v/>
      </c>
      <c r="J14" s="3">
        <f>IF(B14="","Set your first payday on Start Here",IF(D14="","Enter take-home pay",IF(OR(NOT(ISNUMBER(D14)),D14&lt;0,AND(F14&lt;&gt;"",NOT(ISNUMBER(F14))),AND(ISNUMBER(F14),F14&lt;0)),"Pay and savings must be numbers, not text or negatives",IF(ROUND(G14,2)&lt;0,"Short: bills + savings exceed pay",IF(C14=3,"Extra paycheck: no bills due","")))))</f>
        <v/>
      </c>
    </row>
    <row r="15">
      <c r="A15" s="11" t="n">
        <v>14</v>
      </c>
      <c r="B15" s="14">
        <f>IF(AND(ISNUMBER('Start Here'!$C$5),'Start Here'!$C$5&gt;=DATE(2000,1,1)),'Start Here'!$C$5+14*(A15-1),"")</f>
        <v/>
      </c>
      <c r="C15" s="11">
        <f>IF(B15="","",INT((DAY(B15)-1)/14)+1)</f>
        <v/>
      </c>
      <c r="D15" s="13" t="n">
        <v>2250</v>
      </c>
      <c r="E15" s="12">
        <f>IF(OR(C15="",C15=3),0,SUMIF(Bills!$E:$E,C15,Bills!$D:$D))</f>
        <v/>
      </c>
      <c r="F15" s="13" t="n">
        <v>150</v>
      </c>
      <c r="G15" s="12">
        <f>IF(ISNUMBER(D15),D15,0)-E15-IF(ISNUMBER(F15),F15,0)</f>
        <v/>
      </c>
      <c r="H15" s="13" t="n"/>
      <c r="I15" s="12">
        <f>IF(H15="","",IF(ISNUMBER(H15),ROUND(G15-H15,2),"Not a number"))</f>
        <v/>
      </c>
      <c r="J15">
        <f>IF(B15="","Set your first payday on Start Here",IF(D15="","Enter take-home pay",IF(OR(NOT(ISNUMBER(D15)),D15&lt;0,AND(F15&lt;&gt;"",NOT(ISNUMBER(F15))),AND(ISNUMBER(F15),F15&lt;0)),"Pay and savings must be numbers, not text or negatives",IF(ROUND(G15,2)&lt;0,"Short: bills + savings exceed pay",IF(C15=3,"Extra paycheck: no bills due","")))))</f>
        <v/>
      </c>
    </row>
    <row r="16">
      <c r="A16" s="6" t="n">
        <v>15</v>
      </c>
      <c r="B16" s="5">
        <f>IF(AND(ISNUMBER('Start Here'!$C$5),'Start Here'!$C$5&gt;=DATE(2000,1,1)),'Start Here'!$C$5+14*(A16-1),"")</f>
        <v/>
      </c>
      <c r="C16" s="6">
        <f>IF(B16="","",INT((DAY(B16)-1)/14)+1)</f>
        <v/>
      </c>
      <c r="D16" s="13" t="n">
        <v>2250</v>
      </c>
      <c r="E16" s="10">
        <f>IF(OR(C16="",C16=3),0,SUMIF(Bills!$E:$E,C16,Bills!$D:$D))</f>
        <v/>
      </c>
      <c r="F16" s="13" t="n">
        <v>150</v>
      </c>
      <c r="G16" s="10">
        <f>IF(ISNUMBER(D16),D16,0)-E16-IF(ISNUMBER(F16),F16,0)</f>
        <v/>
      </c>
      <c r="H16" s="13" t="n"/>
      <c r="I16" s="10">
        <f>IF(H16="","",IF(ISNUMBER(H16),ROUND(G16-H16,2),"Not a number"))</f>
        <v/>
      </c>
      <c r="J16" s="3">
        <f>IF(B16="","Set your first payday on Start Here",IF(D16="","Enter take-home pay",IF(OR(NOT(ISNUMBER(D16)),D16&lt;0,AND(F16&lt;&gt;"",NOT(ISNUMBER(F16))),AND(ISNUMBER(F16),F16&lt;0)),"Pay and savings must be numbers, not text or negatives",IF(ROUND(G16,2)&lt;0,"Short: bills + savings exceed pay",IF(C16=3,"Extra paycheck: no bills due","")))))</f>
        <v/>
      </c>
    </row>
    <row r="17">
      <c r="A17" s="11" t="n">
        <v>16</v>
      </c>
      <c r="B17" s="14">
        <f>IF(AND(ISNUMBER('Start Here'!$C$5),'Start Here'!$C$5&gt;=DATE(2000,1,1)),'Start Here'!$C$5+14*(A17-1),"")</f>
        <v/>
      </c>
      <c r="C17" s="11">
        <f>IF(B17="","",INT((DAY(B17)-1)/14)+1)</f>
        <v/>
      </c>
      <c r="D17" s="13" t="n">
        <v>2250</v>
      </c>
      <c r="E17" s="12">
        <f>IF(OR(C17="",C17=3),0,SUMIF(Bills!$E:$E,C17,Bills!$D:$D))</f>
        <v/>
      </c>
      <c r="F17" s="13" t="n">
        <v>150</v>
      </c>
      <c r="G17" s="12">
        <f>IF(ISNUMBER(D17),D17,0)-E17-IF(ISNUMBER(F17),F17,0)</f>
        <v/>
      </c>
      <c r="H17" s="13" t="n"/>
      <c r="I17" s="12">
        <f>IF(H17="","",IF(ISNUMBER(H17),ROUND(G17-H17,2),"Not a number"))</f>
        <v/>
      </c>
      <c r="J17">
        <f>IF(B17="","Set your first payday on Start Here",IF(D17="","Enter take-home pay",IF(OR(NOT(ISNUMBER(D17)),D17&lt;0,AND(F17&lt;&gt;"",NOT(ISNUMBER(F17))),AND(ISNUMBER(F17),F17&lt;0)),"Pay and savings must be numbers, not text or negatives",IF(ROUND(G17,2)&lt;0,"Short: bills + savings exceed pay",IF(C17=3,"Extra paycheck: no bills due","")))))</f>
        <v/>
      </c>
    </row>
    <row r="18">
      <c r="A18" s="6" t="n">
        <v>17</v>
      </c>
      <c r="B18" s="5">
        <f>IF(AND(ISNUMBER('Start Here'!$C$5),'Start Here'!$C$5&gt;=DATE(2000,1,1)),'Start Here'!$C$5+14*(A18-1),"")</f>
        <v/>
      </c>
      <c r="C18" s="6">
        <f>IF(B18="","",INT((DAY(B18)-1)/14)+1)</f>
        <v/>
      </c>
      <c r="D18" s="13" t="n">
        <v>2250</v>
      </c>
      <c r="E18" s="10">
        <f>IF(OR(C18="",C18=3),0,SUMIF(Bills!$E:$E,C18,Bills!$D:$D))</f>
        <v/>
      </c>
      <c r="F18" s="13" t="n">
        <v>150</v>
      </c>
      <c r="G18" s="10">
        <f>IF(ISNUMBER(D18),D18,0)-E18-IF(ISNUMBER(F18),F18,0)</f>
        <v/>
      </c>
      <c r="H18" s="13" t="n"/>
      <c r="I18" s="10">
        <f>IF(H18="","",IF(ISNUMBER(H18),ROUND(G18-H18,2),"Not a number"))</f>
        <v/>
      </c>
      <c r="J18" s="3">
        <f>IF(B18="","Set your first payday on Start Here",IF(D18="","Enter take-home pay",IF(OR(NOT(ISNUMBER(D18)),D18&lt;0,AND(F18&lt;&gt;"",NOT(ISNUMBER(F18))),AND(ISNUMBER(F18),F18&lt;0)),"Pay and savings must be numbers, not text or negatives",IF(ROUND(G18,2)&lt;0,"Short: bills + savings exceed pay",IF(C18=3,"Extra paycheck: no bills due","")))))</f>
        <v/>
      </c>
    </row>
    <row r="19">
      <c r="A19" s="11" t="n">
        <v>18</v>
      </c>
      <c r="B19" s="14">
        <f>IF(AND(ISNUMBER('Start Here'!$C$5),'Start Here'!$C$5&gt;=DATE(2000,1,1)),'Start Here'!$C$5+14*(A19-1),"")</f>
        <v/>
      </c>
      <c r="C19" s="11">
        <f>IF(B19="","",INT((DAY(B19)-1)/14)+1)</f>
        <v/>
      </c>
      <c r="D19" s="13" t="n">
        <v>2250</v>
      </c>
      <c r="E19" s="12">
        <f>IF(OR(C19="",C19=3),0,SUMIF(Bills!$E:$E,C19,Bills!$D:$D))</f>
        <v/>
      </c>
      <c r="F19" s="13" t="n">
        <v>150</v>
      </c>
      <c r="G19" s="12">
        <f>IF(ISNUMBER(D19),D19,0)-E19-IF(ISNUMBER(F19),F19,0)</f>
        <v/>
      </c>
      <c r="H19" s="13" t="n"/>
      <c r="I19" s="12">
        <f>IF(H19="","",IF(ISNUMBER(H19),ROUND(G19-H19,2),"Not a number"))</f>
        <v/>
      </c>
      <c r="J19">
        <f>IF(B19="","Set your first payday on Start Here",IF(D19="","Enter take-home pay",IF(OR(NOT(ISNUMBER(D19)),D19&lt;0,AND(F19&lt;&gt;"",NOT(ISNUMBER(F19))),AND(ISNUMBER(F19),F19&lt;0)),"Pay and savings must be numbers, not text or negatives",IF(ROUND(G19,2)&lt;0,"Short: bills + savings exceed pay",IF(C19=3,"Extra paycheck: no bills due","")))))</f>
        <v/>
      </c>
    </row>
    <row r="20">
      <c r="A20" s="6" t="n">
        <v>19</v>
      </c>
      <c r="B20" s="5">
        <f>IF(AND(ISNUMBER('Start Here'!$C$5),'Start Here'!$C$5&gt;=DATE(2000,1,1)),'Start Here'!$C$5+14*(A20-1),"")</f>
        <v/>
      </c>
      <c r="C20" s="6">
        <f>IF(B20="","",INT((DAY(B20)-1)/14)+1)</f>
        <v/>
      </c>
      <c r="D20" s="13" t="n">
        <v>2250</v>
      </c>
      <c r="E20" s="10">
        <f>IF(OR(C20="",C20=3),0,SUMIF(Bills!$E:$E,C20,Bills!$D:$D))</f>
        <v/>
      </c>
      <c r="F20" s="13" t="n">
        <v>150</v>
      </c>
      <c r="G20" s="10">
        <f>IF(ISNUMBER(D20),D20,0)-E20-IF(ISNUMBER(F20),F20,0)</f>
        <v/>
      </c>
      <c r="H20" s="13" t="n"/>
      <c r="I20" s="10">
        <f>IF(H20="","",IF(ISNUMBER(H20),ROUND(G20-H20,2),"Not a number"))</f>
        <v/>
      </c>
      <c r="J20" s="3">
        <f>IF(B20="","Set your first payday on Start Here",IF(D20="","Enter take-home pay",IF(OR(NOT(ISNUMBER(D20)),D20&lt;0,AND(F20&lt;&gt;"",NOT(ISNUMBER(F20))),AND(ISNUMBER(F20),F20&lt;0)),"Pay and savings must be numbers, not text or negatives",IF(ROUND(G20,2)&lt;0,"Short: bills + savings exceed pay",IF(C20=3,"Extra paycheck: no bills due","")))))</f>
        <v/>
      </c>
    </row>
    <row r="21">
      <c r="A21" s="11" t="n">
        <v>20</v>
      </c>
      <c r="B21" s="14">
        <f>IF(AND(ISNUMBER('Start Here'!$C$5),'Start Here'!$C$5&gt;=DATE(2000,1,1)),'Start Here'!$C$5+14*(A21-1),"")</f>
        <v/>
      </c>
      <c r="C21" s="11">
        <f>IF(B21="","",INT((DAY(B21)-1)/14)+1)</f>
        <v/>
      </c>
      <c r="D21" s="13" t="n">
        <v>2250</v>
      </c>
      <c r="E21" s="12">
        <f>IF(OR(C21="",C21=3),0,SUMIF(Bills!$E:$E,C21,Bills!$D:$D))</f>
        <v/>
      </c>
      <c r="F21" s="13" t="n">
        <v>150</v>
      </c>
      <c r="G21" s="12">
        <f>IF(ISNUMBER(D21),D21,0)-E21-IF(ISNUMBER(F21),F21,0)</f>
        <v/>
      </c>
      <c r="H21" s="13" t="n"/>
      <c r="I21" s="12">
        <f>IF(H21="","",IF(ISNUMBER(H21),ROUND(G21-H21,2),"Not a number"))</f>
        <v/>
      </c>
      <c r="J21">
        <f>IF(B21="","Set your first payday on Start Here",IF(D21="","Enter take-home pay",IF(OR(NOT(ISNUMBER(D21)),D21&lt;0,AND(F21&lt;&gt;"",NOT(ISNUMBER(F21))),AND(ISNUMBER(F21),F21&lt;0)),"Pay and savings must be numbers, not text or negatives",IF(ROUND(G21,2)&lt;0,"Short: bills + savings exceed pay",IF(C21=3,"Extra paycheck: no bills due","")))))</f>
        <v/>
      </c>
    </row>
    <row r="22">
      <c r="A22" s="6" t="n">
        <v>21</v>
      </c>
      <c r="B22" s="5">
        <f>IF(AND(ISNUMBER('Start Here'!$C$5),'Start Here'!$C$5&gt;=DATE(2000,1,1)),'Start Here'!$C$5+14*(A22-1),"")</f>
        <v/>
      </c>
      <c r="C22" s="6">
        <f>IF(B22="","",INT((DAY(B22)-1)/14)+1)</f>
        <v/>
      </c>
      <c r="D22" s="13" t="n">
        <v>2250</v>
      </c>
      <c r="E22" s="10">
        <f>IF(OR(C22="",C22=3),0,SUMIF(Bills!$E:$E,C22,Bills!$D:$D))</f>
        <v/>
      </c>
      <c r="F22" s="13" t="n">
        <v>150</v>
      </c>
      <c r="G22" s="10">
        <f>IF(ISNUMBER(D22),D22,0)-E22-IF(ISNUMBER(F22),F22,0)</f>
        <v/>
      </c>
      <c r="H22" s="13" t="n"/>
      <c r="I22" s="10">
        <f>IF(H22="","",IF(ISNUMBER(H22),ROUND(G22-H22,2),"Not a number"))</f>
        <v/>
      </c>
      <c r="J22" s="3">
        <f>IF(B22="","Set your first payday on Start Here",IF(D22="","Enter take-home pay",IF(OR(NOT(ISNUMBER(D22)),D22&lt;0,AND(F22&lt;&gt;"",NOT(ISNUMBER(F22))),AND(ISNUMBER(F22),F22&lt;0)),"Pay and savings must be numbers, not text or negatives",IF(ROUND(G22,2)&lt;0,"Short: bills + savings exceed pay",IF(C22=3,"Extra paycheck: no bills due","")))))</f>
        <v/>
      </c>
    </row>
    <row r="23">
      <c r="A23" s="11" t="n">
        <v>22</v>
      </c>
      <c r="B23" s="14">
        <f>IF(AND(ISNUMBER('Start Here'!$C$5),'Start Here'!$C$5&gt;=DATE(2000,1,1)),'Start Here'!$C$5+14*(A23-1),"")</f>
        <v/>
      </c>
      <c r="C23" s="11">
        <f>IF(B23="","",INT((DAY(B23)-1)/14)+1)</f>
        <v/>
      </c>
      <c r="D23" s="13" t="n">
        <v>2250</v>
      </c>
      <c r="E23" s="12">
        <f>IF(OR(C23="",C23=3),0,SUMIF(Bills!$E:$E,C23,Bills!$D:$D))</f>
        <v/>
      </c>
      <c r="F23" s="13" t="n">
        <v>150</v>
      </c>
      <c r="G23" s="12">
        <f>IF(ISNUMBER(D23),D23,0)-E23-IF(ISNUMBER(F23),F23,0)</f>
        <v/>
      </c>
      <c r="H23" s="13" t="n"/>
      <c r="I23" s="12">
        <f>IF(H23="","",IF(ISNUMBER(H23),ROUND(G23-H23,2),"Not a number"))</f>
        <v/>
      </c>
      <c r="J23">
        <f>IF(B23="","Set your first payday on Start Here",IF(D23="","Enter take-home pay",IF(OR(NOT(ISNUMBER(D23)),D23&lt;0,AND(F23&lt;&gt;"",NOT(ISNUMBER(F23))),AND(ISNUMBER(F23),F23&lt;0)),"Pay and savings must be numbers, not text or negatives",IF(ROUND(G23,2)&lt;0,"Short: bills + savings exceed pay",IF(C23=3,"Extra paycheck: no bills due","")))))</f>
        <v/>
      </c>
    </row>
    <row r="24">
      <c r="A24" s="6" t="n">
        <v>23</v>
      </c>
      <c r="B24" s="5">
        <f>IF(AND(ISNUMBER('Start Here'!$C$5),'Start Here'!$C$5&gt;=DATE(2000,1,1)),'Start Here'!$C$5+14*(A24-1),"")</f>
        <v/>
      </c>
      <c r="C24" s="6">
        <f>IF(B24="","",INT((DAY(B24)-1)/14)+1)</f>
        <v/>
      </c>
      <c r="D24" s="13" t="n">
        <v>2250</v>
      </c>
      <c r="E24" s="10">
        <f>IF(OR(C24="",C24=3),0,SUMIF(Bills!$E:$E,C24,Bills!$D:$D))</f>
        <v/>
      </c>
      <c r="F24" s="13" t="n">
        <v>150</v>
      </c>
      <c r="G24" s="10">
        <f>IF(ISNUMBER(D24),D24,0)-E24-IF(ISNUMBER(F24),F24,0)</f>
        <v/>
      </c>
      <c r="H24" s="13" t="n"/>
      <c r="I24" s="10">
        <f>IF(H24="","",IF(ISNUMBER(H24),ROUND(G24-H24,2),"Not a number"))</f>
        <v/>
      </c>
      <c r="J24" s="3">
        <f>IF(B24="","Set your first payday on Start Here",IF(D24="","Enter take-home pay",IF(OR(NOT(ISNUMBER(D24)),D24&lt;0,AND(F24&lt;&gt;"",NOT(ISNUMBER(F24))),AND(ISNUMBER(F24),F24&lt;0)),"Pay and savings must be numbers, not text or negatives",IF(ROUND(G24,2)&lt;0,"Short: bills + savings exceed pay",IF(C24=3,"Extra paycheck: no bills due","")))))</f>
        <v/>
      </c>
    </row>
    <row r="25">
      <c r="A25" s="11" t="n">
        <v>24</v>
      </c>
      <c r="B25" s="14">
        <f>IF(AND(ISNUMBER('Start Here'!$C$5),'Start Here'!$C$5&gt;=DATE(2000,1,1)),'Start Here'!$C$5+14*(A25-1),"")</f>
        <v/>
      </c>
      <c r="C25" s="11">
        <f>IF(B25="","",INT((DAY(B25)-1)/14)+1)</f>
        <v/>
      </c>
      <c r="D25" s="13" t="n">
        <v>2250</v>
      </c>
      <c r="E25" s="12">
        <f>IF(OR(C25="",C25=3),0,SUMIF(Bills!$E:$E,C25,Bills!$D:$D))</f>
        <v/>
      </c>
      <c r="F25" s="13" t="n">
        <v>150</v>
      </c>
      <c r="G25" s="12">
        <f>IF(ISNUMBER(D25),D25,0)-E25-IF(ISNUMBER(F25),F25,0)</f>
        <v/>
      </c>
      <c r="H25" s="13" t="n"/>
      <c r="I25" s="12">
        <f>IF(H25="","",IF(ISNUMBER(H25),ROUND(G25-H25,2),"Not a number"))</f>
        <v/>
      </c>
      <c r="J25">
        <f>IF(B25="","Set your first payday on Start Here",IF(D25="","Enter take-home pay",IF(OR(NOT(ISNUMBER(D25)),D25&lt;0,AND(F25&lt;&gt;"",NOT(ISNUMBER(F25))),AND(ISNUMBER(F25),F25&lt;0)),"Pay and savings must be numbers, not text or negatives",IF(ROUND(G25,2)&lt;0,"Short: bills + savings exceed pay",IF(C25=3,"Extra paycheck: no bills due","")))))</f>
        <v/>
      </c>
    </row>
    <row r="26">
      <c r="A26" s="6" t="n">
        <v>25</v>
      </c>
      <c r="B26" s="5">
        <f>IF(AND(ISNUMBER('Start Here'!$C$5),'Start Here'!$C$5&gt;=DATE(2000,1,1)),'Start Here'!$C$5+14*(A26-1),"")</f>
        <v/>
      </c>
      <c r="C26" s="6">
        <f>IF(B26="","",INT((DAY(B26)-1)/14)+1)</f>
        <v/>
      </c>
      <c r="D26" s="13" t="n">
        <v>2250</v>
      </c>
      <c r="E26" s="10">
        <f>IF(OR(C26="",C26=3),0,SUMIF(Bills!$E:$E,C26,Bills!$D:$D))</f>
        <v/>
      </c>
      <c r="F26" s="13" t="n">
        <v>150</v>
      </c>
      <c r="G26" s="10">
        <f>IF(ISNUMBER(D26),D26,0)-E26-IF(ISNUMBER(F26),F26,0)</f>
        <v/>
      </c>
      <c r="H26" s="13" t="n"/>
      <c r="I26" s="10">
        <f>IF(H26="","",IF(ISNUMBER(H26),ROUND(G26-H26,2),"Not a number"))</f>
        <v/>
      </c>
      <c r="J26" s="3">
        <f>IF(B26="","Set your first payday on Start Here",IF(D26="","Enter take-home pay",IF(OR(NOT(ISNUMBER(D26)),D26&lt;0,AND(F26&lt;&gt;"",NOT(ISNUMBER(F26))),AND(ISNUMBER(F26),F26&lt;0)),"Pay and savings must be numbers, not text or negatives",IF(ROUND(G26,2)&lt;0,"Short: bills + savings exceed pay",IF(C26=3,"Extra paycheck: no bills due","")))))</f>
        <v/>
      </c>
    </row>
    <row r="27">
      <c r="A27" s="11" t="n">
        <v>26</v>
      </c>
      <c r="B27" s="14">
        <f>IF(AND(ISNUMBER('Start Here'!$C$5),'Start Here'!$C$5&gt;=DATE(2000,1,1)),'Start Here'!$C$5+14*(A27-1),"")</f>
        <v/>
      </c>
      <c r="C27" s="11">
        <f>IF(B27="","",INT((DAY(B27)-1)/14)+1)</f>
        <v/>
      </c>
      <c r="D27" s="13" t="n">
        <v>2250</v>
      </c>
      <c r="E27" s="12">
        <f>IF(OR(C27="",C27=3),0,SUMIF(Bills!$E:$E,C27,Bills!$D:$D))</f>
        <v/>
      </c>
      <c r="F27" s="13" t="n">
        <v>150</v>
      </c>
      <c r="G27" s="12">
        <f>IF(ISNUMBER(D27),D27,0)-E27-IF(ISNUMBER(F27),F27,0)</f>
        <v/>
      </c>
      <c r="H27" s="13" t="n"/>
      <c r="I27" s="12">
        <f>IF(H27="","",IF(ISNUMBER(H27),ROUND(G27-H27,2),"Not a number"))</f>
        <v/>
      </c>
      <c r="J27">
        <f>IF(B27="","Set your first payday on Start Here",IF(D27="","Enter take-home pay",IF(OR(NOT(ISNUMBER(D27)),D27&lt;0,AND(F27&lt;&gt;"",NOT(ISNUMBER(F27))),AND(ISNUMBER(F27),F27&lt;0)),"Pay and savings must be numbers, not text or negatives",IF(ROUND(G27,2)&lt;0,"Short: bills + savings exceed pay",IF(C27=3,"Extra paycheck: no bills due","")))))</f>
        <v/>
      </c>
    </row>
  </sheetData>
  <conditionalFormatting sqref="G2:G27">
    <cfRule type="expression" priority="1" dxfId="0">
      <formula>AND(ISNUMBER($D2),ROUND($G2,2)&lt;0)</formula>
    </cfRule>
  </conditionalFormatting>
  <conditionalFormatting sqref="I2:I27">
    <cfRule type="cellIs" priority="2" operator="lessThan" dxfId="0">
      <formula>0</formula>
    </cfRule>
  </conditionalFormatting>
  <conditionalFormatting sqref="A2:C27">
    <cfRule type="expression" priority="3" dxfId="1">
      <formula>$C2=3</formula>
    </cfRule>
  </conditionalFormatting>
  <conditionalFormatting sqref="D2:D27">
    <cfRule type="expression" priority="4" dxfId="0">
      <formula>OR(AND($D2&lt;&gt;"",NOT(ISNUMBER($D2))),AND(ISNUMBER($D2),$D2&lt;0))</formula>
    </cfRule>
  </conditionalFormatting>
  <conditionalFormatting sqref="F2:F27">
    <cfRule type="expression" priority="5" dxfId="0">
      <formula>OR(AND($F2&lt;&gt;"",NOT(ISNUMBER($F2))),AND(ISNUMBER($F2),$F2&lt;0))</formula>
    </cfRule>
  </conditionalFormatting>
  <conditionalFormatting sqref="H2:H27">
    <cfRule type="expression" priority="6" dxfId="0">
      <formula>OR(AND($H2&lt;&gt;"",NOT(ISNUMBER($H2))),AND(ISNUMBER($H2),$H2&lt;0))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42"/>
  <sheetViews>
    <sheetView showGridLines="0" workbookViewId="0">
      <selection activeCell="A1" sqref="A1"/>
    </sheetView>
  </sheetViews>
  <sheetFormatPr baseColWidth="8" defaultRowHeight="18" customHeight="1"/>
  <cols>
    <col width="2.5" customWidth="1" min="1" max="1"/>
    <col width="11" customWidth="1" min="2" max="2"/>
    <col width="11" customWidth="1" min="3" max="3"/>
    <col width="2.5" customWidth="1" min="4" max="4"/>
    <col width="11" customWidth="1" min="5" max="5"/>
    <col width="11" customWidth="1" min="6" max="6"/>
    <col width="2.5" customWidth="1" min="7" max="7"/>
    <col width="11" customWidth="1" min="8" max="8"/>
    <col width="11" customWidth="1" min="9" max="9"/>
    <col width="2.5" customWidth="1" min="10" max="10"/>
    <col width="11" customWidth="1" min="11" max="11"/>
    <col width="11" customWidth="1" min="12" max="12"/>
    <col width="2.5" customWidth="1" min="13" max="13"/>
  </cols>
  <sheetData>
    <row r="2">
      <c r="B2" s="15" t="inlineStr">
        <is>
          <t>2 6   P A Y C H E C K S   A T   A   G L A N C E</t>
        </is>
      </c>
    </row>
    <row r="3"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B4" s="16" t="inlineStr">
        <is>
          <t>TAKE-HOME PAY</t>
        </is>
      </c>
      <c r="D4" s="8" t="n"/>
      <c r="E4" s="17" t="inlineStr">
        <is>
          <t>BILLS</t>
        </is>
      </c>
      <c r="G4" s="8" t="n"/>
      <c r="H4" s="18" t="inlineStr">
        <is>
          <t>SAVINGS</t>
        </is>
      </c>
      <c r="J4" s="8" t="n"/>
      <c r="K4" s="19" t="inlineStr">
        <is>
          <t>LEFT TO SPEND</t>
        </is>
      </c>
    </row>
    <row r="5">
      <c r="B5" s="20">
        <f>SUM(Paychecks!D2:D27)</f>
        <v/>
      </c>
      <c r="D5" s="8" t="n"/>
      <c r="E5" s="21">
        <f>SUM(Paychecks!E2:E27)</f>
        <v/>
      </c>
      <c r="G5" s="8" t="n"/>
      <c r="H5" s="22">
        <f>SUM(Paychecks!F2:F27)</f>
        <v/>
      </c>
      <c r="J5" s="8" t="n"/>
      <c r="K5" s="23">
        <f>SUM(Paychecks!G2:G27)</f>
        <v/>
      </c>
    </row>
    <row r="6">
      <c r="D6" s="8" t="n"/>
      <c r="G6" s="8" t="n"/>
      <c r="J6" s="8" t="n"/>
    </row>
    <row r="7">
      <c r="B7" s="8">
        <f>IF(NOT(AND(ISNUMBER('Start Here'!$C$5),'Start Here'!$C$5&gt;=DATE(2000,1,1))),"Set your first payday on Start Here: no bills are scheduled until you do.",IF(OR(F40&lt;&gt;0,F41&lt;&gt;0),"Check the Bills tab: a bill has no 1/2 tag or a non-number amount, so it's left out of these totals.",IF(COUNTA(Paychecks!$D$2:$D$27,Paychecks!$F$2:$F$27)-COUNT(Paychecks!$D$2:$D$27,Paychecks!$F$2:$F$27)&gt;0,"Check the Paychecks tab: a pay or savings entry isn't a number, so it's left out of these totals.","")))</f>
        <v/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>
      <c r="B8" s="24" t="inlineStr">
        <is>
          <t>P A Y   V S .   B I L L S   B Y   P A Y C H E C K   #</t>
        </is>
      </c>
    </row>
    <row r="26">
      <c r="B26" s="25" t="inlineStr">
        <is>
          <t>M O N T H L Y   B I L L S</t>
        </is>
      </c>
    </row>
    <row r="27">
      <c r="B27" s="3" t="n"/>
      <c r="C27" s="3" t="n"/>
      <c r="D27" s="3" t="n"/>
      <c r="E27" s="3" t="n"/>
      <c r="F27" s="3" t="n"/>
    </row>
    <row r="28">
      <c r="B28" s="3" t="inlineStr">
        <is>
          <t>Housing</t>
        </is>
      </c>
      <c r="C28" s="3" t="n"/>
      <c r="D28" s="3" t="n"/>
      <c r="E28" s="3" t="n"/>
      <c r="F28" s="10">
        <f>SUMIF(Bills!$B:$B,B28,Bills!$D:$D)</f>
        <v/>
      </c>
    </row>
    <row r="29">
      <c r="B29" s="3" t="inlineStr">
        <is>
          <t>Transportation</t>
        </is>
      </c>
      <c r="C29" s="3" t="n"/>
      <c r="D29" s="3" t="n"/>
      <c r="E29" s="3" t="n"/>
      <c r="F29" s="10">
        <f>SUMIF(Bills!$B:$B,B29,Bills!$D:$D)</f>
        <v/>
      </c>
    </row>
    <row r="30">
      <c r="B30" s="3" t="inlineStr">
        <is>
          <t>Debt</t>
        </is>
      </c>
      <c r="C30" s="3" t="n"/>
      <c r="D30" s="3" t="n"/>
      <c r="E30" s="3" t="n"/>
      <c r="F30" s="10">
        <f>SUMIF(Bills!$B:$B,B30,Bills!$D:$D)</f>
        <v/>
      </c>
    </row>
    <row r="31">
      <c r="B31" s="3" t="inlineStr">
        <is>
          <t>Utilities</t>
        </is>
      </c>
      <c r="C31" s="3" t="n"/>
      <c r="D31" s="3" t="n"/>
      <c r="E31" s="3" t="n"/>
      <c r="F31" s="10">
        <f>SUMIF(Bills!$B:$B,B31,Bills!$D:$D)</f>
        <v/>
      </c>
    </row>
    <row r="32">
      <c r="B32" s="3" t="inlineStr">
        <is>
          <t>Insurance</t>
        </is>
      </c>
      <c r="C32" s="3" t="n"/>
      <c r="D32" s="3" t="n"/>
      <c r="E32" s="3" t="n"/>
      <c r="F32" s="10">
        <f>SUMIF(Bills!$B:$B,B32,Bills!$D:$D)</f>
        <v/>
      </c>
    </row>
    <row r="33">
      <c r="B33" s="3" t="inlineStr">
        <is>
          <t>Phone &amp; Internet</t>
        </is>
      </c>
      <c r="C33" s="3" t="n"/>
      <c r="D33" s="3" t="n"/>
      <c r="E33" s="3" t="n"/>
      <c r="F33" s="10">
        <f>SUMIF(Bills!$B:$B,B33,Bills!$D:$D)</f>
        <v/>
      </c>
    </row>
    <row r="34">
      <c r="B34" s="3" t="inlineStr">
        <is>
          <t>Subscriptions</t>
        </is>
      </c>
      <c r="C34" s="3" t="n"/>
      <c r="D34" s="3" t="n"/>
      <c r="E34" s="3" t="n"/>
      <c r="F34" s="10">
        <f>SUMIF(Bills!$B:$B,B34,Bills!$D:$D)</f>
        <v/>
      </c>
    </row>
    <row r="35">
      <c r="B35" s="3" t="inlineStr">
        <is>
          <t>Other / not listed</t>
        </is>
      </c>
      <c r="C35" s="3" t="n"/>
      <c r="D35" s="3" t="n"/>
      <c r="E35" s="3" t="n"/>
      <c r="F35" s="10">
        <f>ROUND(SUM(Bills!$D:$D)-SUM(F28:F34),2)</f>
        <v/>
      </c>
    </row>
    <row r="36">
      <c r="B36" s="26" t="inlineStr">
        <is>
          <t>Total</t>
        </is>
      </c>
      <c r="C36" s="26" t="n"/>
      <c r="D36" s="26" t="n"/>
      <c r="E36" s="26" t="n"/>
      <c r="F36" s="27">
        <f>SUM(F28:F35)</f>
        <v/>
      </c>
    </row>
    <row r="37">
      <c r="B37" s="3" t="n"/>
      <c r="C37" s="3" t="n"/>
      <c r="D37" s="3" t="n"/>
      <c r="E37" s="3" t="n"/>
      <c r="F37" s="3" t="n"/>
    </row>
    <row r="38">
      <c r="B38" s="3" t="inlineStr">
        <is>
          <t>Paid from check 1</t>
        </is>
      </c>
      <c r="C38" s="3" t="n"/>
      <c r="D38" s="3" t="n"/>
      <c r="E38" s="3" t="n"/>
      <c r="F38" s="10">
        <f>SUMIF(Bills!$E:$E,1,Bills!$D:$D)</f>
        <v/>
      </c>
    </row>
    <row r="39">
      <c r="B39" s="3" t="inlineStr">
        <is>
          <t>Paid from check 2</t>
        </is>
      </c>
      <c r="C39" s="3" t="n"/>
      <c r="D39" s="3" t="n"/>
      <c r="E39" s="3" t="n"/>
      <c r="F39" s="10">
        <f>SUMIF(Bills!$E:$E,2,Bills!$D:$D)</f>
        <v/>
      </c>
    </row>
    <row r="40">
      <c r="B40" s="3" t="inlineStr">
        <is>
          <t>Not tagged 1 or 2 (should be $0)</t>
        </is>
      </c>
      <c r="C40" s="3" t="n"/>
      <c r="D40" s="3" t="n"/>
      <c r="E40" s="3" t="n"/>
      <c r="F40" s="10">
        <f>ROUND(SUM(Bills!$D:$D)-F38-F39,2)</f>
        <v/>
      </c>
    </row>
    <row r="41">
      <c r="B41" s="3" t="inlineStr">
        <is>
          <t>Non-number amounts (should be 0)</t>
        </is>
      </c>
      <c r="C41" s="3" t="n"/>
      <c r="D41" s="3" t="n"/>
      <c r="E41" s="3" t="n"/>
      <c r="F41" s="6">
        <f>COUNTA(Bills!$D:$D)-COUNT(Bills!$D:$D)-(COUNTA(Bills!$D$1)-COUNT(Bills!$D$1))</f>
        <v/>
      </c>
    </row>
    <row r="42">
      <c r="B42" s="3" t="n"/>
      <c r="C42" s="3" t="n"/>
      <c r="D42" s="3" t="n"/>
      <c r="E42" s="3" t="n"/>
      <c r="F42" s="3" t="n"/>
    </row>
  </sheetData>
  <mergeCells count="11">
    <mergeCell ref="E4:F4"/>
    <mergeCell ref="B26:L26"/>
    <mergeCell ref="B5:C6"/>
    <mergeCell ref="B2:L2"/>
    <mergeCell ref="E5:F6"/>
    <mergeCell ref="K5:L6"/>
    <mergeCell ref="H4:I4"/>
    <mergeCell ref="H5:I6"/>
    <mergeCell ref="K4:L4"/>
    <mergeCell ref="B4:C4"/>
    <mergeCell ref="B8:L8"/>
  </mergeCells>
  <conditionalFormatting sqref="B7:L7">
    <cfRule type="expression" priority="1" dxfId="0">
      <formula>$B$7&lt;&gt;""</formula>
    </cfRule>
  </conditionalFormatting>
  <conditionalFormatting sqref="B40:F40">
    <cfRule type="expression" priority="2" dxfId="0">
      <formula>$F$40&lt;&gt;0</formula>
    </cfRule>
  </conditionalFormatting>
  <conditionalFormatting sqref="B41:F41">
    <cfRule type="expression" priority="3" dxfId="0">
      <formula>$F$41&lt;&gt;0</formula>
    </cfRule>
  </conditionalFormatting>
  <conditionalFormatting sqref="F35">
    <cfRule type="cellIs" priority="4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2026-10-05T21:00:58Z</dcterms:created>
  <dcterms:modified xsi:type="dcterms:W3CDTF">2026-10-05T21:00:58Z</dcterms:modified>
</cp:coreProperties>
</file>