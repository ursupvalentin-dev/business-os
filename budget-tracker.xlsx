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ransactions" sheetId="2" state="visible" r:id="rId2"/>
    <sheet name="Budget" sheetId="3" state="visible" r:id="rId3"/>
    <sheet name="Summary" sheetId="4" state="visible" r:id="rId4"/>
  </sheets>
  <definedNames>
    <definedName name="_xlnm.Print_Area" localSheetId="0">'Dashboard'!$A$1:$Q$46</definedName>
  </definedNames>
  <calcPr calcId="124519" fullCalcOnLoad="1"/>
</workbook>
</file>

<file path=xl/styles.xml><?xml version="1.0" encoding="utf-8"?>
<styleSheet xmlns="http://schemas.openxmlformats.org/spreadsheetml/2006/main">
  <numFmts count="4">
    <numFmt numFmtId="164" formatCode="yyyy-mm-dd"/>
    <numFmt numFmtId="165" formatCode="d mmm yyyy"/>
    <numFmt numFmtId="166" formatCode="0.0%"/>
    <numFmt numFmtId="167" formatCode="mmmm yyyy"/>
  </numFmts>
  <fonts count="11">
    <font>
      <name val="Calibri"/>
      <family val="2"/>
      <color theme="1"/>
      <sz val="11"/>
      <scheme val="minor"/>
    </font>
    <font>
      <b val="1"/>
      <color rgb="003B3B3B"/>
    </font>
    <font>
      <b val="1"/>
      <color rgb="003B3B3B"/>
      <sz val="14"/>
    </font>
    <font>
      <b val="1"/>
      <color rgb="003B3B3B"/>
      <sz val="11"/>
    </font>
    <font>
      <b val="1"/>
      <color rgb="003B3B3B"/>
      <sz val="10"/>
    </font>
    <font>
      <b val="1"/>
      <color rgb="003B3B3B"/>
      <sz val="16"/>
    </font>
    <font>
      <i val="1"/>
      <color rgb="006B6460"/>
    </font>
    <font>
      <color rgb="006B6460"/>
    </font>
    <font>
      <color rgb="006B6460"/>
      <sz val="9"/>
    </font>
    <font>
      <b val="1"/>
      <color rgb="003B3B3B"/>
      <sz val="12"/>
    </font>
    <font>
      <i val="1"/>
      <color rgb="006B6460"/>
      <sz val="9"/>
    </font>
  </fonts>
  <fills count="9">
    <fill>
      <patternFill/>
    </fill>
    <fill>
      <patternFill patternType="gray125"/>
    </fill>
    <fill>
      <patternFill patternType="solid">
        <fgColor rgb="00EAC6B8"/>
        <bgColor rgb="00EAC6B8"/>
      </patternFill>
    </fill>
    <fill>
      <patternFill patternType="solid">
        <fgColor rgb="00F6E5A8"/>
        <bgColor rgb="00F6E5A8"/>
      </patternFill>
    </fill>
    <fill>
      <patternFill patternType="solid">
        <fgColor rgb="00F4C0DB"/>
        <bgColor rgb="00F4C0DB"/>
      </patternFill>
    </fill>
    <fill>
      <patternFill patternType="solid">
        <fgColor rgb="0099E4EB"/>
        <bgColor rgb="0099E4EB"/>
      </patternFill>
    </fill>
    <fill>
      <patternFill patternType="solid">
        <fgColor rgb="00FAF1F3"/>
        <bgColor rgb="00FAF1F3"/>
      </patternFill>
    </fill>
    <fill>
      <patternFill patternType="solid">
        <fgColor rgb="00E6F3F4"/>
        <bgColor rgb="00E6F3F4"/>
      </patternFill>
    </fill>
    <fill>
      <patternFill patternType="solid">
        <fgColor rgb="00FFF2CC"/>
        <bgColor rgb="00FFF2CC"/>
      </patternFill>
    </fill>
  </fills>
  <borders count="6">
    <border>
      <left/>
      <right/>
      <top/>
      <bottom/>
      <diagonal/>
    </border>
    <border>
      <left style="thin">
        <color rgb="00E8DAD3"/>
      </left>
      <right style="thin">
        <color rgb="00E8DAD3"/>
      </right>
      <top style="thin">
        <color rgb="00E8DAD3"/>
      </top>
      <bottom style="thin">
        <color rgb="00E8DAD3"/>
      </bottom>
    </border>
    <border>
      <left style="thin">
        <color rgb="00E8DAD3"/>
      </left>
      <right/>
      <top/>
      <bottom/>
      <diagonal/>
    </border>
    <border>
      <left style="thin">
        <color rgb="00E8DAD3"/>
      </left>
      <right style="thin">
        <color rgb="00E8DAD3"/>
      </right>
      <top/>
      <bottom/>
      <diagonal/>
    </border>
    <border>
      <left style="thin">
        <color rgb="00E8DAD3"/>
      </left>
      <right style="thin">
        <color rgb="00E8DAD3"/>
      </right>
      <top/>
      <bottom style="thin">
        <color rgb="00E8DAD3"/>
      </bottom>
      <diagonal/>
    </border>
    <border>
      <top style="thin">
        <color rgb="009C8E88"/>
      </top>
    </border>
  </borders>
  <cellStyleXfs count="1">
    <xf numFmtId="0" fontId="0" fillId="0" borderId="0"/>
  </cellStyleXfs>
  <cellXfs count="34">
    <xf numFmtId="0" fontId="0" fillId="0" borderId="0" pivotButton="0" quotePrefix="0" xfId="0"/>
    <xf numFmtId="0" fontId="2" fillId="3" borderId="0" applyAlignment="1" pivotButton="0" quotePrefix="0" xfId="0">
      <alignment horizontal="center" vertical="center"/>
    </xf>
    <xf numFmtId="0" fontId="8" fillId="0" borderId="0" pivotButton="0" quotePrefix="0" xfId="0"/>
    <xf numFmtId="0" fontId="10" fillId="0" borderId="0" pivotButton="0" quotePrefix="0" xfId="0"/>
    <xf numFmtId="1" fontId="9" fillId="8" borderId="1" applyAlignment="1" pivotButton="0" quotePrefix="0" xfId="0">
      <alignment horizontal="center" vertical="center"/>
    </xf>
    <xf numFmtId="167" fontId="9" fillId="0" borderId="0" applyAlignment="1" pivotButton="0" quotePrefix="0" xfId="0">
      <alignment horizontal="left"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4" fontId="5" fillId="6" borderId="1" applyAlignment="1" pivotButton="0" quotePrefix="0" xfId="0">
      <alignment horizontal="center" vertical="center"/>
    </xf>
    <xf numFmtId="4" fontId="5" fillId="7" borderId="1" applyAlignment="1" pivotButton="0" quotePrefix="0" xfId="0">
      <alignment horizontal="center" vertical="center"/>
    </xf>
    <xf numFmtId="166" fontId="5" fillId="7" borderId="1" applyAlignment="1" pivotButton="0" quotePrefix="0" xfId="0">
      <alignment horizontal="center" vertical="center"/>
    </xf>
    <xf numFmtId="0" fontId="0" fillId="0" borderId="4" pivotButton="0" quotePrefix="0" xfId="0"/>
    <xf numFmtId="0" fontId="1" fillId="2" borderId="0" pivotButton="0" quotePrefix="0" xfId="0"/>
    <xf numFmtId="0" fontId="1" fillId="2" borderId="0" applyAlignment="1" pivotButton="0" quotePrefix="0" xfId="0">
      <alignment horizontal="right"/>
    </xf>
    <xf numFmtId="4" fontId="0" fillId="0" borderId="0" pivotButton="0" quotePrefix="0" xfId="0"/>
    <xf numFmtId="0" fontId="1" fillId="0" borderId="5" pivotButton="0" quotePrefix="0" xfId="0"/>
    <xf numFmtId="4" fontId="1" fillId="0" borderId="5" pivotButton="0" quotePrefix="0" xfId="0"/>
    <xf numFmtId="165" fontId="0" fillId="0" borderId="0" pivotButton="0" quotePrefix="0" xfId="0"/>
    <xf numFmtId="0" fontId="1" fillId="2" borderId="0" applyAlignment="1" pivotButton="0" quotePrefix="0" xfId="0">
      <alignment horizontal="center" vertical="center"/>
    </xf>
    <xf numFmtId="0" fontId="6" fillId="0" borderId="0" pivotButton="0" quotePrefix="0" xfId="0"/>
    <xf numFmtId="0" fontId="1" fillId="0" borderId="0" pivotButton="0" quotePrefix="0" xfId="0"/>
    <xf numFmtId="0" fontId="0" fillId="8" borderId="1" pivotButton="0" quotePrefix="0" xfId="0"/>
    <xf numFmtId="4" fontId="0" fillId="8" borderId="1" pivotButton="0" quotePrefix="0" xfId="0"/>
    <xf numFmtId="0" fontId="7" fillId="0" borderId="0" pivotButton="0" quotePrefix="0" xfId="0"/>
    <xf numFmtId="4" fontId="1" fillId="0" borderId="0" pivotButton="0" quotePrefix="0" xfId="0"/>
    <xf numFmtId="166" fontId="0" fillId="0" borderId="0" pivotButton="0" quotePrefix="0" xfId="0"/>
    <xf numFmtId="166" fontId="1" fillId="0" borderId="5" pivotButton="0" quotePrefix="0" xfId="0"/>
    <xf numFmtId="166" fontId="1" fillId="0" borderId="0" pivotButton="0" quotePrefix="0" xfId="0"/>
    <xf numFmtId="4" fontId="6" fillId="0" borderId="0" pivotButton="0" quotePrefix="0" xfId="0"/>
    <xf numFmtId="1" fontId="6" fillId="0" borderId="0" pivotButton="0" quotePrefix="0" xfId="0"/>
    <xf numFmtId="0" fontId="1" fillId="2" borderId="0" applyAlignment="1" pivotButton="0" quotePrefix="0" xfId="0">
      <alignment horizontal="center"/>
    </xf>
    <xf numFmtId="4" fontId="1" fillId="2" borderId="0" applyAlignment="1" pivotButton="0" quotePrefix="0" xfId="0">
      <alignment horizontal="center"/>
    </xf>
  </cellXfs>
  <cellStyles count="1">
    <cellStyle name="Normal" xfId="0" builtinId="0" hidden="0"/>
  </cellStyles>
  <dxfs count="4">
    <dxf>
      <fill>
        <patternFill patternType="solid">
          <fgColor rgb="00FFC7CE"/>
          <bgColor rgb="00FFC7CE"/>
        </patternFill>
      </fill>
    </dxf>
    <dxf>
      <fill>
        <patternFill patternType="solid">
          <fgColor rgb="00FCE4D6"/>
          <bgColor rgb="00FCE4D6"/>
        </patternFill>
      </fill>
    </dxf>
    <dxf>
      <fill>
        <patternFill patternType="solid">
          <fgColor rgb="00FDFBF3"/>
          <bgColor rgb="00FDFBF3"/>
        </patternFill>
      </fill>
    </dxf>
    <dxf>
      <fill>
        <patternFill patternType="solid">
          <fgColor rgb="00ECF3F1"/>
          <bgColor rgb="00ECF3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barChart>
        <barDir val="bar"/>
        <grouping val="clustered"/>
        <ser>
          <idx val="0"/>
          <order val="0"/>
          <tx>
            <strRef>
              <f>'Summary'!R1</f>
            </strRef>
          </tx>
          <spPr>
            <a:solidFill>
              <a:srgbClr val="6F56C9"/>
            </a:solidFill>
            <a:ln>
              <a:prstDash val="solid"/>
            </a:ln>
          </spPr>
          <cat>
            <strRef>
              <f>'Summary'!$A$2:$A$13</f>
            </strRef>
          </cat>
          <val>
            <numRef>
              <f>'Summary'!$R$2:$R$13</f>
            </numRef>
          </val>
        </ser>
        <ser>
          <idx val="1"/>
          <order val="1"/>
          <tx>
            <strRef>
              <f>'Summary'!S1</f>
            </strRef>
          </tx>
          <spPr>
            <a:solidFill>
              <a:srgbClr val="D9567A"/>
            </a:solidFill>
            <a:ln>
              <a:prstDash val="solid"/>
            </a:ln>
          </spPr>
          <cat>
            <strRef>
              <f>'Summary'!$A$2:$A$13</f>
            </strRef>
          </cat>
          <val>
            <numRef>
              <f>'Summary'!$S$2:$S$13</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b"/>
        <majorGridlines/>
        <numFmt formatCode="#,##0" sourceLinked="0"/>
        <majorTickMark val="none"/>
        <minorTickMark val="none"/>
        <crossAx val="10"/>
        <crosses val="max"/>
      </valAx>
    </plotArea>
    <legend>
      <legendPos val="b"/>
    </legend>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tx>
            <strRef>
              <f>'Summary'!B22</f>
            </strRef>
          </tx>
          <spPr>
            <a:solidFill>
              <a:srgbClr val="2B8CC4"/>
            </a:solidFill>
            <a:ln>
              <a:prstDash val="solid"/>
            </a:ln>
          </spPr>
          <cat>
            <strRef>
              <f>'Summary'!$A$23:$A$34</f>
            </strRef>
          </cat>
          <val>
            <numRef>
              <f>'Summary'!$B$23:$B$34</f>
            </numRef>
          </val>
        </ser>
        <ser>
          <idx val="1"/>
          <order val="1"/>
          <tx>
            <strRef>
              <f>'Summary'!C22</f>
            </strRef>
          </tx>
          <spPr>
            <a:solidFill>
              <a:srgbClr val="D9567A"/>
            </a:solidFill>
            <a:ln>
              <a:prstDash val="solid"/>
            </a:ln>
          </spPr>
          <cat>
            <strRef>
              <f>'Summary'!$A$23:$A$34</f>
            </strRef>
          </cat>
          <val>
            <numRef>
              <f>'Summary'!$C$23:$C$34</f>
            </numRef>
          </val>
        </ser>
        <gapWidth val="60"/>
        <axId val="10"/>
        <axId val="100"/>
      </barChart>
      <catAx>
        <axId val="10"/>
        <scaling>
          <orientation val="minMax"/>
        </scaling>
        <delete val="0"/>
        <axPos val="b"/>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plotArea>
      <barChart>
        <barDir val="bar"/>
        <grouping val="clustered"/>
        <ser>
          <idx val="0"/>
          <order val="0"/>
          <tx>
            <strRef>
              <f>'Summary'!N1</f>
            </strRef>
          </tx>
          <spPr>
            <a:solidFill>
              <a:srgbClr val="D9567A"/>
            </a:solidFill>
            <a:ln>
              <a:prstDash val="solid"/>
            </a:ln>
          </spPr>
          <cat>
            <strRef>
              <f>'Summary'!$A$2:$A$13</f>
            </strRef>
          </cat>
          <val>
            <numRef>
              <f>'Summary'!$N$2:$N$13</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b"/>
        <majorGridlines/>
        <numFmt formatCode="#,##0" sourceLinked="0"/>
        <majorTickMark val="none"/>
        <minorTickMark val="none"/>
        <crossAx val="10"/>
        <crosses val="max"/>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5148000" cy="36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12</row>
      <rowOff>0</rowOff>
    </from>
    <ext cx="5148000" cy="3600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30</row>
      <rowOff>0</rowOff>
    </from>
    <ext cx="5148000" cy="3168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B2:P44"/>
  <sheetViews>
    <sheetView showGridLines="0" tabSelected="1" workbookViewId="0">
      <selection activeCell="A1" sqref="A1"/>
    </sheetView>
  </sheetViews>
  <sheetFormatPr baseColWidth="8" defaultRowHeight="18" customHeight="1"/>
  <cols>
    <col width="2" customWidth="1" min="1" max="1"/>
    <col width="18" customWidth="1" min="2" max="2"/>
    <col width="2" customWidth="1" min="3" max="3"/>
    <col width="18" customWidth="1" min="4" max="4"/>
    <col width="2" customWidth="1" min="5" max="5"/>
    <col width="18" customWidth="1" min="6" max="6"/>
    <col width="2" customWidth="1" min="7" max="7"/>
    <col width="18" customWidth="1" min="8" max="8"/>
    <col width="3" customWidth="1" min="9" max="9"/>
    <col width="18" customWidth="1" min="10" max="10"/>
    <col width="2" customWidth="1" min="11" max="11"/>
    <col width="18" customWidth="1" min="12" max="12"/>
    <col width="2" customWidth="1" min="13" max="13"/>
    <col width="18" customWidth="1" min="14" max="14"/>
    <col width="2" customWidth="1" min="15" max="15"/>
    <col width="18" customWidth="1" min="16" max="16"/>
    <col width="2" customWidth="1" min="17" max="17"/>
  </cols>
  <sheetData>
    <row r="2">
      <c r="B2" s="1" t="inlineStr">
        <is>
          <t>B U D G E T   T R A C K E R</t>
        </is>
      </c>
    </row>
    <row r="4">
      <c r="B4" s="2" t="inlineStr">
        <is>
          <t>Year</t>
        </is>
      </c>
      <c r="C4" s="2" t="n"/>
      <c r="D4" s="2" t="inlineStr">
        <is>
          <t>Month (1-12)</t>
        </is>
      </c>
      <c r="E4" s="2" t="n"/>
      <c r="F4" s="2" t="inlineStr">
        <is>
          <t>Showing</t>
        </is>
      </c>
      <c r="J4" s="3" t="inlineStr">
        <is>
          <t>Year and Month start on today's date. Type over them to look at another period.</t>
        </is>
      </c>
    </row>
    <row r="5">
      <c r="B5" s="4">
        <f>YEAR(TODAY())</f>
        <v/>
      </c>
      <c r="D5" s="4">
        <f>MONTH(TODAY())</f>
        <v/>
      </c>
      <c r="F5" s="5">
        <f>IF(OR(NOT(ISNUMBER(B5)),NOT(ISNUMBER(D5))),"Pick a year and a month",IF(OR(B5&lt;2000,B5&gt;2100,B5&lt;&gt;INT(B5)),"Pick a year 2000-2100",IF(OR(D5&lt;1,D5&gt;12,D5&lt;&gt;INT(D5)),"Pick a month 1-12",DATE(B5,D5,1))))</f>
        <v/>
      </c>
      <c r="J5" s="3">
        <f>IF(OR(COUNTIF(Summary!$B$20:$M$20,"&lt;&gt;0")&gt;0,Summary!$B$21&lt;&gt;0),"Some amounts are not being counted: see the checks under the totals on the Summary tab.","Log spending on the Transactions tab and set budgets on the Budget tab.")</f>
        <v/>
      </c>
    </row>
    <row r="7">
      <c r="B7" s="6" t="inlineStr">
        <is>
          <t>T H I S   M O N T H</t>
        </is>
      </c>
      <c r="J7" s="7" t="inlineStr">
        <is>
          <t>T H I S   Y E A R</t>
        </is>
      </c>
    </row>
    <row r="8">
      <c r="B8" s="8" t="inlineStr">
        <is>
          <t>Income</t>
        </is>
      </c>
      <c r="D8" s="8" t="inlineStr">
        <is>
          <t>Spent</t>
        </is>
      </c>
      <c r="F8" s="8" t="inlineStr">
        <is>
          <t>Left to spend</t>
        </is>
      </c>
      <c r="H8" s="8" t="inlineStr">
        <is>
          <t>Net saved</t>
        </is>
      </c>
      <c r="J8" s="9" t="inlineStr">
        <is>
          <t>Income</t>
        </is>
      </c>
      <c r="L8" s="9" t="inlineStr">
        <is>
          <t>Spent</t>
        </is>
      </c>
      <c r="N8" s="9" t="inlineStr">
        <is>
          <t>Saved</t>
        </is>
      </c>
      <c r="P8" s="9" t="inlineStr">
        <is>
          <t>Savings rate</t>
        </is>
      </c>
    </row>
    <row r="9">
      <c r="B9" s="10">
        <f>Summary!$S$18</f>
        <v/>
      </c>
      <c r="D9" s="10">
        <f>Summary!$S$17</f>
        <v/>
      </c>
      <c r="F9" s="10">
        <f>Summary!$T$17</f>
        <v/>
      </c>
      <c r="H9" s="10">
        <f>Summary!$S$19</f>
        <v/>
      </c>
      <c r="J9" s="11">
        <f>Summary!$N$18</f>
        <v/>
      </c>
      <c r="L9" s="11">
        <f>Summary!$N$17</f>
        <v/>
      </c>
      <c r="N9" s="11">
        <f>Summary!$N$19</f>
        <v/>
      </c>
      <c r="P9" s="12">
        <f>IF(Summary!$N$18&lt;=0,"-",Summary!$N$19/Summary!$N$18)</f>
        <v/>
      </c>
    </row>
    <row r="10">
      <c r="B10" s="13" t="n"/>
      <c r="D10" s="13" t="n"/>
      <c r="F10" s="13" t="n"/>
      <c r="H10" s="13" t="n"/>
      <c r="J10" s="13" t="n"/>
      <c r="L10" s="13" t="n"/>
      <c r="N10" s="13" t="n"/>
      <c r="P10" s="13" t="n"/>
    </row>
    <row r="12">
      <c r="B12" s="6" t="inlineStr">
        <is>
          <t>Budget vs actual by category</t>
        </is>
      </c>
      <c r="J12" s="7" t="inlineStr">
        <is>
          <t>Income vs spending by month</t>
        </is>
      </c>
    </row>
    <row r="30">
      <c r="B30" s="6" t="inlineStr">
        <is>
          <t>Category detail</t>
        </is>
      </c>
      <c r="J30" s="7" t="inlineStr">
        <is>
          <t>Spending by category this year</t>
        </is>
      </c>
    </row>
    <row r="31">
      <c r="B31" s="14" t="inlineStr">
        <is>
          <t>Category</t>
        </is>
      </c>
      <c r="C31" s="14" t="n"/>
      <c r="D31" s="15" t="inlineStr">
        <is>
          <t>Budget</t>
        </is>
      </c>
      <c r="E31" s="15" t="n"/>
      <c r="F31" s="15" t="inlineStr">
        <is>
          <t>Spent</t>
        </is>
      </c>
      <c r="G31" s="15" t="n"/>
      <c r="H31" s="15" t="inlineStr">
        <is>
          <t>Left</t>
        </is>
      </c>
    </row>
    <row r="32">
      <c r="B32">
        <f>Summary!A2</f>
        <v/>
      </c>
      <c r="D32" s="16">
        <f>Summary!R2</f>
        <v/>
      </c>
      <c r="F32" s="16">
        <f>Summary!S2</f>
        <v/>
      </c>
      <c r="H32" s="16">
        <f>Summary!T2</f>
        <v/>
      </c>
    </row>
    <row r="33">
      <c r="B33">
        <f>Summary!A3</f>
        <v/>
      </c>
      <c r="D33" s="16">
        <f>Summary!R3</f>
        <v/>
      </c>
      <c r="F33" s="16">
        <f>Summary!S3</f>
        <v/>
      </c>
      <c r="H33" s="16">
        <f>Summary!T3</f>
        <v/>
      </c>
    </row>
    <row r="34">
      <c r="B34">
        <f>Summary!A4</f>
        <v/>
      </c>
      <c r="D34" s="16">
        <f>Summary!R4</f>
        <v/>
      </c>
      <c r="F34" s="16">
        <f>Summary!S4</f>
        <v/>
      </c>
      <c r="H34" s="16">
        <f>Summary!T4</f>
        <v/>
      </c>
    </row>
    <row r="35">
      <c r="B35">
        <f>Summary!A5</f>
        <v/>
      </c>
      <c r="D35" s="16">
        <f>Summary!R5</f>
        <v/>
      </c>
      <c r="F35" s="16">
        <f>Summary!S5</f>
        <v/>
      </c>
      <c r="H35" s="16">
        <f>Summary!T5</f>
        <v/>
      </c>
    </row>
    <row r="36">
      <c r="B36">
        <f>Summary!A6</f>
        <v/>
      </c>
      <c r="D36" s="16">
        <f>Summary!R6</f>
        <v/>
      </c>
      <c r="F36" s="16">
        <f>Summary!S6</f>
        <v/>
      </c>
      <c r="H36" s="16">
        <f>Summary!T6</f>
        <v/>
      </c>
    </row>
    <row r="37">
      <c r="B37">
        <f>Summary!A7</f>
        <v/>
      </c>
      <c r="D37" s="16">
        <f>Summary!R7</f>
        <v/>
      </c>
      <c r="F37" s="16">
        <f>Summary!S7</f>
        <v/>
      </c>
      <c r="H37" s="16">
        <f>Summary!T7</f>
        <v/>
      </c>
    </row>
    <row r="38">
      <c r="B38">
        <f>Summary!A8</f>
        <v/>
      </c>
      <c r="D38" s="16">
        <f>Summary!R8</f>
        <v/>
      </c>
      <c r="F38" s="16">
        <f>Summary!S8</f>
        <v/>
      </c>
      <c r="H38" s="16">
        <f>Summary!T8</f>
        <v/>
      </c>
    </row>
    <row r="39">
      <c r="B39">
        <f>Summary!A9</f>
        <v/>
      </c>
      <c r="D39" s="16">
        <f>Summary!R9</f>
        <v/>
      </c>
      <c r="F39" s="16">
        <f>Summary!S9</f>
        <v/>
      </c>
      <c r="H39" s="16">
        <f>Summary!T9</f>
        <v/>
      </c>
    </row>
    <row r="40">
      <c r="B40">
        <f>Summary!A10</f>
        <v/>
      </c>
      <c r="D40" s="16">
        <f>Summary!R10</f>
        <v/>
      </c>
      <c r="F40" s="16">
        <f>Summary!S10</f>
        <v/>
      </c>
      <c r="H40" s="16">
        <f>Summary!T10</f>
        <v/>
      </c>
    </row>
    <row r="41">
      <c r="B41">
        <f>Summary!A11</f>
        <v/>
      </c>
      <c r="D41" s="16">
        <f>Summary!R11</f>
        <v/>
      </c>
      <c r="F41" s="16">
        <f>Summary!S11</f>
        <v/>
      </c>
      <c r="H41" s="16">
        <f>Summary!T11</f>
        <v/>
      </c>
    </row>
    <row r="42">
      <c r="B42">
        <f>Summary!A12</f>
        <v/>
      </c>
      <c r="D42" s="16">
        <f>Summary!R12</f>
        <v/>
      </c>
      <c r="F42" s="16">
        <f>Summary!S12</f>
        <v/>
      </c>
      <c r="H42" s="16">
        <f>Summary!T12</f>
        <v/>
      </c>
    </row>
    <row r="43">
      <c r="B43">
        <f>Summary!A13</f>
        <v/>
      </c>
      <c r="D43" s="16">
        <f>Summary!R13</f>
        <v/>
      </c>
      <c r="F43" s="16">
        <f>Summary!S13</f>
        <v/>
      </c>
      <c r="H43" s="16">
        <f>Summary!T13</f>
        <v/>
      </c>
    </row>
    <row r="44">
      <c r="B44" s="17" t="inlineStr">
        <is>
          <t>Total</t>
        </is>
      </c>
      <c r="C44" s="17" t="n"/>
      <c r="D44" s="18">
        <f>SUM(D32:D43)</f>
        <v/>
      </c>
      <c r="E44" s="17" t="n"/>
      <c r="F44" s="18">
        <f>SUM(F32:F43)</f>
        <v/>
      </c>
      <c r="G44" s="17" t="n"/>
      <c r="H44" s="18">
        <f>ROUND(D44-F44,2)</f>
        <v/>
      </c>
    </row>
  </sheetData>
  <mergeCells count="15">
    <mergeCell ref="B2:P2"/>
    <mergeCell ref="H9:H10"/>
    <mergeCell ref="J9:J10"/>
    <mergeCell ref="P9:P10"/>
    <mergeCell ref="B30:H30"/>
    <mergeCell ref="J12:P12"/>
    <mergeCell ref="B7:H7"/>
    <mergeCell ref="B9:B10"/>
    <mergeCell ref="D9:D10"/>
    <mergeCell ref="F9:F10"/>
    <mergeCell ref="L9:L10"/>
    <mergeCell ref="N9:N10"/>
    <mergeCell ref="B12:H12"/>
    <mergeCell ref="J30:P30"/>
    <mergeCell ref="J7:P7"/>
  </mergeCells>
  <conditionalFormatting sqref="H32:H44">
    <cfRule type="cellIs" priority="1" operator="lessThan" dxfId="0">
      <formula>0</formula>
    </cfRule>
  </conditionalFormatting>
  <conditionalFormatting sqref="J5:P5">
    <cfRule type="expression" priority="2" dxfId="0">
      <formula>OR(COUNTIF(Summary!$B$20:$M$20,"&lt;&gt;0")&gt;0,Summary!$B$21&lt;&gt;0)</formula>
    </cfRule>
  </conditionalFormatting>
  <conditionalFormatting sqref="F9">
    <cfRule type="cellIs" priority="3" operator="lessThan" dxfId="0">
      <formula>0</formula>
    </cfRule>
  </conditionalFormatting>
  <conditionalFormatting sqref="H9">
    <cfRule type="cellIs" priority="4" operator="lessThan" dxfId="0">
      <formula>0</formula>
    </cfRule>
  </conditionalFormatting>
  <conditionalFormatting sqref="N9">
    <cfRule type="cellIs" priority="5" operator="lessThan" dxfId="0">
      <formula>0</formula>
    </cfRule>
  </conditionalFormatting>
  <dataValidations count="2">
    <dataValidation sqref="B5" showDropDown="0" showInputMessage="0" showErrorMessage="1" allowBlank="1" errorTitle="Year" error="Enter a year such as 2026." type="whole" operator="between">
      <formula1>2000</formula1>
      <formula2>2100</formula2>
    </dataValidation>
    <dataValidation sqref="D5" showDropDown="0" showInputMessage="0" showErrorMessage="1" allowBlank="1" errorTitle="Month" error="Enter a month number from 1 (January) to 12 (December)." type="whole" operator="between">
      <formula1>1</formula1>
      <formula2>12</formula2>
    </dataValidation>
  </dataValidations>
  <pageMargins left="0.75" right="0.75" top="1" bottom="1" header="0.5" footer="0.5"/>
  <pageSetup orientation="landscape"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4"/>
  <sheetViews>
    <sheetView tabSelected="0" workbookViewId="0">
      <pane ySplit="1" topLeftCell="A2" activePane="bottomLeft" state="frozen"/>
      <selection pane="bottomLeft" activeCell="A1" sqref="A1"/>
    </sheetView>
  </sheetViews>
  <sheetFormatPr baseColWidth="8" defaultRowHeight="15"/>
  <cols>
    <col width="14" customWidth="1" style="19" min="1" max="1"/>
    <col width="32" customWidth="1" min="2" max="2"/>
    <col width="20" customWidth="1" min="3" max="3"/>
    <col width="14" customWidth="1" style="16" min="4" max="4"/>
    <col width="24" customWidth="1" min="5" max="5"/>
  </cols>
  <sheetData>
    <row r="1">
      <c r="A1" s="20" t="inlineStr">
        <is>
          <t>Date</t>
        </is>
      </c>
      <c r="B1" s="20" t="inlineStr">
        <is>
          <t>Description</t>
        </is>
      </c>
      <c r="C1" s="20" t="inlineStr">
        <is>
          <t>Category</t>
        </is>
      </c>
      <c r="D1" s="20" t="inlineStr">
        <is>
          <t>Amount</t>
        </is>
      </c>
      <c r="E1" s="20" t="inlineStr">
        <is>
          <t>Notes</t>
        </is>
      </c>
      <c r="G1" s="21" t="inlineStr">
        <is>
          <t>Tip: pick the Category from the dropdown and type amounts as positive numbers. Rows marked 'sample' are examples - delete them when you start.</t>
        </is>
      </c>
    </row>
    <row r="2">
      <c r="A2" s="19" t="n">
        <v>46235</v>
      </c>
      <c r="B2" t="inlineStr">
        <is>
          <t>Paycheck</t>
        </is>
      </c>
      <c r="C2" t="inlineStr">
        <is>
          <t>Salary</t>
        </is>
      </c>
      <c r="D2" s="16" t="n">
        <v>2100</v>
      </c>
      <c r="E2" t="inlineStr">
        <is>
          <t>sample - delete me</t>
        </is>
      </c>
    </row>
    <row r="3">
      <c r="A3" s="19" t="n">
        <v>46235</v>
      </c>
      <c r="B3" t="inlineStr">
        <is>
          <t>Rent</t>
        </is>
      </c>
      <c r="C3" t="inlineStr">
        <is>
          <t>Housing</t>
        </is>
      </c>
      <c r="D3" s="16" t="n">
        <v>1500</v>
      </c>
      <c r="E3" t="inlineStr">
        <is>
          <t>sample - delete me</t>
        </is>
      </c>
    </row>
    <row r="4">
      <c r="A4" s="19" t="n">
        <v>46237</v>
      </c>
      <c r="B4" t="inlineStr">
        <is>
          <t>Supermarket</t>
        </is>
      </c>
      <c r="C4" t="inlineStr">
        <is>
          <t>Groceries</t>
        </is>
      </c>
      <c r="D4" s="16" t="n">
        <v>142.35</v>
      </c>
      <c r="E4" t="inlineStr">
        <is>
          <t>sample - delete me</t>
        </is>
      </c>
    </row>
    <row r="5">
      <c r="A5" s="19" t="n">
        <v>46239</v>
      </c>
      <c r="B5" t="inlineStr">
        <is>
          <t>Electricity &amp; water</t>
        </is>
      </c>
      <c r="C5" t="inlineStr">
        <is>
          <t>Utilities</t>
        </is>
      </c>
      <c r="D5" s="16" t="n">
        <v>118.4</v>
      </c>
      <c r="E5" t="inlineStr">
        <is>
          <t>sample - delete me</t>
        </is>
      </c>
    </row>
    <row r="6">
      <c r="A6" s="19" t="n">
        <v>46242</v>
      </c>
      <c r="B6" t="inlineStr">
        <is>
          <t>Gas station</t>
        </is>
      </c>
      <c r="C6" t="inlineStr">
        <is>
          <t>Transportation</t>
        </is>
      </c>
      <c r="D6" s="16" t="n">
        <v>64.3</v>
      </c>
      <c r="E6" t="inlineStr">
        <is>
          <t>sample - delete me</t>
        </is>
      </c>
    </row>
    <row r="7">
      <c r="A7" s="19" t="n">
        <v>46243</v>
      </c>
      <c r="B7" t="inlineStr">
        <is>
          <t>Dinner out</t>
        </is>
      </c>
      <c r="C7" t="inlineStr">
        <is>
          <t>Dining Out</t>
        </is>
      </c>
      <c r="D7" s="16" t="n">
        <v>72.5</v>
      </c>
      <c r="E7" t="inlineStr">
        <is>
          <t>sample - delete me</t>
        </is>
      </c>
    </row>
    <row r="8">
      <c r="A8" s="19" t="n">
        <v>46244</v>
      </c>
      <c r="B8" t="inlineStr">
        <is>
          <t>Supermarket</t>
        </is>
      </c>
      <c r="C8" t="inlineStr">
        <is>
          <t>Groceries</t>
        </is>
      </c>
      <c r="D8" s="16" t="n">
        <v>128.9</v>
      </c>
      <c r="E8" t="inlineStr">
        <is>
          <t>sample - delete me</t>
        </is>
      </c>
    </row>
    <row r="9">
      <c r="A9" s="19" t="n">
        <v>46246</v>
      </c>
      <c r="B9" t="inlineStr">
        <is>
          <t>Internet &amp; phone</t>
        </is>
      </c>
      <c r="C9" t="inlineStr">
        <is>
          <t>Utilities</t>
        </is>
      </c>
      <c r="D9" s="16" t="n">
        <v>85</v>
      </c>
      <c r="E9" t="inlineStr">
        <is>
          <t>sample - delete me</t>
        </is>
      </c>
    </row>
    <row r="10">
      <c r="A10" s="19" t="n">
        <v>46248</v>
      </c>
      <c r="B10" t="inlineStr">
        <is>
          <t>Car insurance</t>
        </is>
      </c>
      <c r="C10" t="inlineStr">
        <is>
          <t>Insurance</t>
        </is>
      </c>
      <c r="D10" s="16" t="n">
        <v>180</v>
      </c>
      <c r="E10" t="inlineStr">
        <is>
          <t>sample - delete me</t>
        </is>
      </c>
    </row>
    <row r="11">
      <c r="A11" s="19" t="n">
        <v>46249</v>
      </c>
      <c r="B11" t="inlineStr">
        <is>
          <t>Paycheck</t>
        </is>
      </c>
      <c r="C11" t="inlineStr">
        <is>
          <t>Salary</t>
        </is>
      </c>
      <c r="D11" s="16" t="n">
        <v>2100</v>
      </c>
      <c r="E11" t="inlineStr">
        <is>
          <t>sample - delete me</t>
        </is>
      </c>
    </row>
    <row r="12">
      <c r="A12" s="19" t="n">
        <v>46251</v>
      </c>
      <c r="B12" t="inlineStr">
        <is>
          <t>Supermarket</t>
        </is>
      </c>
      <c r="C12" t="inlineStr">
        <is>
          <t>Groceries</t>
        </is>
      </c>
      <c r="D12" s="16" t="n">
        <v>156.2</v>
      </c>
      <c r="E12" t="inlineStr">
        <is>
          <t>sample - delete me</t>
        </is>
      </c>
    </row>
    <row r="13">
      <c r="A13" s="19" t="n">
        <v>46253</v>
      </c>
      <c r="B13" t="inlineStr">
        <is>
          <t>Concert tickets</t>
        </is>
      </c>
      <c r="C13" t="inlineStr">
        <is>
          <t>Entertainment</t>
        </is>
      </c>
      <c r="D13" s="16" t="n">
        <v>95</v>
      </c>
      <c r="E13" t="inlineStr">
        <is>
          <t>sample - delete me</t>
        </is>
      </c>
    </row>
    <row r="14">
      <c r="A14" s="19" t="n">
        <v>46254</v>
      </c>
      <c r="B14" t="inlineStr">
        <is>
          <t>Streaming services</t>
        </is>
      </c>
      <c r="C14" t="inlineStr">
        <is>
          <t>Subscriptions</t>
        </is>
      </c>
      <c r="D14" s="16" t="n">
        <v>32.98</v>
      </c>
      <c r="E14" t="inlineStr">
        <is>
          <t>sample - delete me</t>
        </is>
      </c>
    </row>
    <row r="15">
      <c r="A15" s="19" t="n">
        <v>46256</v>
      </c>
      <c r="B15" t="inlineStr">
        <is>
          <t>Gas station</t>
        </is>
      </c>
      <c r="C15" t="inlineStr">
        <is>
          <t>Transportation</t>
        </is>
      </c>
      <c r="D15" s="16" t="n">
        <v>58.1</v>
      </c>
      <c r="E15" t="inlineStr">
        <is>
          <t>sample - delete me</t>
        </is>
      </c>
    </row>
    <row r="16">
      <c r="A16" s="19" t="n">
        <v>46258</v>
      </c>
      <c r="B16" t="inlineStr">
        <is>
          <t>Supermarket</t>
        </is>
      </c>
      <c r="C16" t="inlineStr">
        <is>
          <t>Groceries</t>
        </is>
      </c>
      <c r="D16" s="16" t="n">
        <v>131.75</v>
      </c>
      <c r="E16" t="inlineStr">
        <is>
          <t>sample - delete me</t>
        </is>
      </c>
    </row>
    <row r="17">
      <c r="A17" s="19" t="n">
        <v>46261</v>
      </c>
      <c r="B17" t="inlineStr">
        <is>
          <t>Student loan payment</t>
        </is>
      </c>
      <c r="C17" t="inlineStr">
        <is>
          <t>Debt Payments</t>
        </is>
      </c>
      <c r="D17" s="16" t="n">
        <v>300</v>
      </c>
      <c r="E17" t="inlineStr">
        <is>
          <t>sample - delete me</t>
        </is>
      </c>
    </row>
    <row r="18">
      <c r="A18" s="19" t="n">
        <v>46263</v>
      </c>
      <c r="B18" t="inlineStr">
        <is>
          <t>Freelance job</t>
        </is>
      </c>
      <c r="C18" t="inlineStr">
        <is>
          <t>Other Income</t>
        </is>
      </c>
      <c r="D18" s="16" t="n">
        <v>350</v>
      </c>
      <c r="E18" t="inlineStr">
        <is>
          <t>sample - delete me</t>
        </is>
      </c>
    </row>
    <row r="19">
      <c r="A19" s="19" t="n">
        <v>46266</v>
      </c>
      <c r="B19" t="inlineStr">
        <is>
          <t>Paycheck</t>
        </is>
      </c>
      <c r="C19" t="inlineStr">
        <is>
          <t>Salary</t>
        </is>
      </c>
      <c r="D19" s="16" t="n">
        <v>2100</v>
      </c>
      <c r="E19" t="inlineStr">
        <is>
          <t>sample - delete me</t>
        </is>
      </c>
    </row>
    <row r="20">
      <c r="A20" s="19" t="n">
        <v>46266</v>
      </c>
      <c r="B20" t="inlineStr">
        <is>
          <t>Rent</t>
        </is>
      </c>
      <c r="C20" t="inlineStr">
        <is>
          <t>Housing</t>
        </is>
      </c>
      <c r="D20" s="16" t="n">
        <v>1500</v>
      </c>
      <c r="E20" t="inlineStr">
        <is>
          <t>sample - delete me</t>
        </is>
      </c>
    </row>
    <row r="21">
      <c r="A21" s="19" t="n">
        <v>46267</v>
      </c>
      <c r="B21" t="inlineStr">
        <is>
          <t>Supermarket</t>
        </is>
      </c>
      <c r="C21" t="inlineStr">
        <is>
          <t>Groceries</t>
        </is>
      </c>
      <c r="D21" s="16" t="n">
        <v>168.45</v>
      </c>
      <c r="E21" t="inlineStr">
        <is>
          <t>sample - delete me</t>
        </is>
      </c>
    </row>
    <row r="22">
      <c r="A22" s="19" t="n">
        <v>46270</v>
      </c>
      <c r="B22" t="inlineStr">
        <is>
          <t>Electricity &amp; water</t>
        </is>
      </c>
      <c r="C22" t="inlineStr">
        <is>
          <t>Utilities</t>
        </is>
      </c>
      <c r="D22" s="16" t="n">
        <v>104.75</v>
      </c>
      <c r="E22" t="inlineStr">
        <is>
          <t>sample - delete me</t>
        </is>
      </c>
    </row>
    <row r="23">
      <c r="A23" s="19" t="n">
        <v>46272</v>
      </c>
      <c r="B23" t="inlineStr">
        <is>
          <t>Gas station</t>
        </is>
      </c>
      <c r="C23" t="inlineStr">
        <is>
          <t>Transportation</t>
        </is>
      </c>
      <c r="D23" s="16" t="n">
        <v>61.4</v>
      </c>
      <c r="E23" t="inlineStr">
        <is>
          <t>sample - delete me</t>
        </is>
      </c>
    </row>
    <row r="24">
      <c r="A24" s="19" t="n">
        <v>46274</v>
      </c>
      <c r="B24" t="inlineStr">
        <is>
          <t>Supermarket</t>
        </is>
      </c>
      <c r="C24" t="inlineStr">
        <is>
          <t>Groceries</t>
        </is>
      </c>
      <c r="D24" s="16" t="n">
        <v>151.2</v>
      </c>
      <c r="E24" t="inlineStr">
        <is>
          <t>sample - delete me</t>
        </is>
      </c>
    </row>
    <row r="25">
      <c r="A25" s="19" t="n">
        <v>46276</v>
      </c>
      <c r="B25" t="inlineStr">
        <is>
          <t>Dinner out</t>
        </is>
      </c>
      <c r="C25" t="inlineStr">
        <is>
          <t>Dining Out</t>
        </is>
      </c>
      <c r="D25" s="16" t="n">
        <v>88.2</v>
      </c>
      <c r="E25" t="inlineStr">
        <is>
          <t>sample - delete me</t>
        </is>
      </c>
    </row>
    <row r="26">
      <c r="A26" s="19" t="n">
        <v>46277</v>
      </c>
      <c r="B26" t="inlineStr">
        <is>
          <t>Internet &amp; phone</t>
        </is>
      </c>
      <c r="C26" t="inlineStr">
        <is>
          <t>Utilities</t>
        </is>
      </c>
      <c r="D26" s="16" t="n">
        <v>85</v>
      </c>
      <c r="E26" t="inlineStr">
        <is>
          <t>sample - delete me</t>
        </is>
      </c>
    </row>
    <row r="27">
      <c r="A27" s="19" t="n">
        <v>46278</v>
      </c>
      <c r="B27" t="inlineStr">
        <is>
          <t>New shoes</t>
        </is>
      </c>
      <c r="C27" t="inlineStr">
        <is>
          <t>Shopping</t>
        </is>
      </c>
      <c r="D27" s="16" t="n">
        <v>89.98999999999999</v>
      </c>
      <c r="E27" t="inlineStr">
        <is>
          <t>sample - delete me</t>
        </is>
      </c>
    </row>
    <row r="28">
      <c r="A28" s="19" t="n">
        <v>46279</v>
      </c>
      <c r="B28" t="inlineStr">
        <is>
          <t>Car insurance</t>
        </is>
      </c>
      <c r="C28" t="inlineStr">
        <is>
          <t>Insurance</t>
        </is>
      </c>
      <c r="D28" s="16" t="n">
        <v>180</v>
      </c>
      <c r="E28" t="inlineStr">
        <is>
          <t>sample - delete me</t>
        </is>
      </c>
    </row>
    <row r="29">
      <c r="A29" s="19" t="n">
        <v>46280</v>
      </c>
      <c r="B29" t="inlineStr">
        <is>
          <t>Paycheck</t>
        </is>
      </c>
      <c r="C29" t="inlineStr">
        <is>
          <t>Salary</t>
        </is>
      </c>
      <c r="D29" s="16" t="n">
        <v>2100</v>
      </c>
      <c r="E29" t="inlineStr">
        <is>
          <t>sample - delete me</t>
        </is>
      </c>
    </row>
    <row r="30">
      <c r="A30" s="19" t="n">
        <v>46281</v>
      </c>
      <c r="B30" t="inlineStr">
        <is>
          <t>Supermarket</t>
        </is>
      </c>
      <c r="C30" t="inlineStr">
        <is>
          <t>Groceries</t>
        </is>
      </c>
      <c r="D30" s="16" t="n">
        <v>139.8</v>
      </c>
      <c r="E30" t="inlineStr">
        <is>
          <t>sample - delete me</t>
        </is>
      </c>
    </row>
    <row r="31">
      <c r="A31" s="19" t="n">
        <v>46283</v>
      </c>
      <c r="B31" t="inlineStr">
        <is>
          <t>Pharmacy</t>
        </is>
      </c>
      <c r="C31" t="inlineStr">
        <is>
          <t>Health</t>
        </is>
      </c>
      <c r="D31" s="16" t="n">
        <v>38.6</v>
      </c>
      <c r="E31" t="inlineStr">
        <is>
          <t>sample - delete me</t>
        </is>
      </c>
    </row>
    <row r="32">
      <c r="A32" s="19" t="n">
        <v>46285</v>
      </c>
      <c r="B32" t="inlineStr">
        <is>
          <t>Streaming services</t>
        </is>
      </c>
      <c r="C32" t="inlineStr">
        <is>
          <t>Subscriptions</t>
        </is>
      </c>
      <c r="D32" s="16" t="n">
        <v>32.98</v>
      </c>
      <c r="E32" t="inlineStr">
        <is>
          <t>sample - delete me</t>
        </is>
      </c>
    </row>
    <row r="33">
      <c r="A33" s="19" t="n">
        <v>46286</v>
      </c>
      <c r="B33" t="inlineStr">
        <is>
          <t>Train pass</t>
        </is>
      </c>
      <c r="C33" t="inlineStr">
        <is>
          <t>Transportation</t>
        </is>
      </c>
      <c r="D33" s="16" t="n">
        <v>120</v>
      </c>
      <c r="E33" t="inlineStr">
        <is>
          <t>sample - delete me</t>
        </is>
      </c>
    </row>
    <row r="34">
      <c r="A34" s="19" t="n">
        <v>46288</v>
      </c>
      <c r="B34" t="inlineStr">
        <is>
          <t>Supermarket</t>
        </is>
      </c>
      <c r="C34" t="inlineStr">
        <is>
          <t>Groceries</t>
        </is>
      </c>
      <c r="D34" s="16" t="n">
        <v>172.6</v>
      </c>
      <c r="E34" t="inlineStr">
        <is>
          <t>sample - delete me</t>
        </is>
      </c>
    </row>
    <row r="35">
      <c r="A35" s="19" t="n">
        <v>46290</v>
      </c>
      <c r="B35" t="inlineStr">
        <is>
          <t>Lunch with friends</t>
        </is>
      </c>
      <c r="C35" t="inlineStr">
        <is>
          <t>Dining Out</t>
        </is>
      </c>
      <c r="D35" s="16" t="n">
        <v>46.75</v>
      </c>
      <c r="E35" t="inlineStr">
        <is>
          <t>sample - delete me</t>
        </is>
      </c>
    </row>
    <row r="36">
      <c r="A36" s="19" t="n">
        <v>46291</v>
      </c>
      <c r="B36" t="inlineStr">
        <is>
          <t>Birthday gift</t>
        </is>
      </c>
      <c r="C36" t="inlineStr">
        <is>
          <t>Miscellaneous</t>
        </is>
      </c>
      <c r="D36" s="16" t="n">
        <v>45</v>
      </c>
      <c r="E36" t="inlineStr">
        <is>
          <t>sample - delete me</t>
        </is>
      </c>
    </row>
    <row r="37">
      <c r="A37" s="19" t="n">
        <v>46292</v>
      </c>
      <c r="B37" t="inlineStr">
        <is>
          <t>Student loan payment</t>
        </is>
      </c>
      <c r="C37" t="inlineStr">
        <is>
          <t>Debt Payments</t>
        </is>
      </c>
      <c r="D37" s="16" t="n">
        <v>300</v>
      </c>
      <c r="E37" t="inlineStr">
        <is>
          <t>sample - delete me</t>
        </is>
      </c>
    </row>
    <row r="38">
      <c r="A38" s="19" t="n">
        <v>46295</v>
      </c>
      <c r="B38" t="inlineStr">
        <is>
          <t>Supermarket</t>
        </is>
      </c>
      <c r="C38" t="inlineStr">
        <is>
          <t>Groceries</t>
        </is>
      </c>
      <c r="D38" s="16" t="n">
        <v>96.15000000000001</v>
      </c>
      <c r="E38" t="inlineStr">
        <is>
          <t>sample - delete me</t>
        </is>
      </c>
    </row>
    <row r="39">
      <c r="A39" s="19" t="n">
        <v>46296</v>
      </c>
      <c r="B39" t="inlineStr">
        <is>
          <t>Paycheck</t>
        </is>
      </c>
      <c r="C39" t="inlineStr">
        <is>
          <t>Salary</t>
        </is>
      </c>
      <c r="D39" s="16" t="n">
        <v>2100</v>
      </c>
      <c r="E39" t="inlineStr">
        <is>
          <t>sample - delete me</t>
        </is>
      </c>
    </row>
    <row r="40">
      <c r="A40" s="19" t="n">
        <v>46296</v>
      </c>
      <c r="B40" t="inlineStr">
        <is>
          <t>Rent</t>
        </is>
      </c>
      <c r="C40" t="inlineStr">
        <is>
          <t>Housing</t>
        </is>
      </c>
      <c r="D40" s="16" t="n">
        <v>1500</v>
      </c>
      <c r="E40" t="inlineStr">
        <is>
          <t>sample - delete me</t>
        </is>
      </c>
    </row>
    <row r="41">
      <c r="A41" s="19" t="n">
        <v>46297</v>
      </c>
      <c r="B41" t="inlineStr">
        <is>
          <t>Supermarket</t>
        </is>
      </c>
      <c r="C41" t="inlineStr">
        <is>
          <t>Groceries</t>
        </is>
      </c>
      <c r="D41" s="16" t="n">
        <v>163.4</v>
      </c>
      <c r="E41" t="inlineStr">
        <is>
          <t>sample - delete me</t>
        </is>
      </c>
    </row>
    <row r="42">
      <c r="A42" s="19" t="n">
        <v>46298</v>
      </c>
      <c r="B42" t="inlineStr">
        <is>
          <t>Gas station</t>
        </is>
      </c>
      <c r="C42" t="inlineStr">
        <is>
          <t>Transportation</t>
        </is>
      </c>
      <c r="D42" s="16" t="n">
        <v>59.8</v>
      </c>
      <c r="E42" t="inlineStr">
        <is>
          <t>sample - delete me</t>
        </is>
      </c>
    </row>
    <row r="43">
      <c r="A43" s="19" t="n">
        <v>46298</v>
      </c>
      <c r="B43" t="inlineStr">
        <is>
          <t>Movie night</t>
        </is>
      </c>
      <c r="C43" t="inlineStr">
        <is>
          <t>Entertainment</t>
        </is>
      </c>
      <c r="D43" s="16" t="n">
        <v>34.5</v>
      </c>
      <c r="E43" t="inlineStr">
        <is>
          <t>sample - delete me</t>
        </is>
      </c>
    </row>
    <row r="44">
      <c r="A44" s="19" t="n">
        <v>46299</v>
      </c>
      <c r="B44" t="inlineStr">
        <is>
          <t>Coffee shop</t>
        </is>
      </c>
      <c r="C44" t="inlineStr">
        <is>
          <t>Dining Out</t>
        </is>
      </c>
      <c r="D44" s="16" t="n">
        <v>12.4</v>
      </c>
      <c r="E44" t="inlineStr">
        <is>
          <t>sample - delete me</t>
        </is>
      </c>
    </row>
  </sheetData>
  <conditionalFormatting sqref="D2:D10000">
    <cfRule type="cellIs" priority="1" operator="lessThan" dxfId="1">
      <formula>0</formula>
    </cfRule>
  </conditionalFormatting>
  <conditionalFormatting sqref="A2:E10000">
    <cfRule type="expression" priority="2" dxfId="2">
      <formula>MOD(ROW(),2)=0</formula>
    </cfRule>
  </conditionalFormatting>
  <dataValidations count="3">
    <dataValidation sqref="C2:C10000" showDropDown="0" showInputMessage="0" showErrorMessage="1" allowBlank="1" errorTitle="Unknown category" error="Pick a category from the dropdown. The list lives on the Budget tab." type="list">
      <formula1>Budget!$A$2:$A$15</formula1>
    </dataValidation>
    <dataValidation sqref="A2:A10000" showDropDown="0" showInputMessage="0" showErrorMessage="1" allowBlank="1" errorTitle="Not a date" error="Enter a date, for example 4 Oct 2026." type="date" operator="between">
      <formula1>36526</formula1>
      <formula2>73050</formula2>
    </dataValidation>
    <dataValidation sqref="D2:D10000" showDropDown="0" showInputMessage="0" showErrorMessage="1" allowBlank="1" errorTitle="Not a number" error="Enter the amount as a plain number, for example 42.50." type="decimal" operator="between">
      <formula1>-1000000000</formula1>
      <formula2>1000000000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tabSelected="0" workbookViewId="0">
      <pane ySplit="1" topLeftCell="A2" activePane="bottomLeft" state="frozen"/>
      <selection pane="bottomLeft" activeCell="A1" sqref="A1"/>
    </sheetView>
  </sheetViews>
  <sheetFormatPr baseColWidth="8" defaultRowHeight="15"/>
  <cols>
    <col width="22" customWidth="1" min="1" max="1"/>
    <col width="10" customWidth="1" min="2" max="2"/>
    <col width="16" customWidth="1" min="3" max="3"/>
    <col width="16" customWidth="1" min="4" max="4"/>
    <col width="80" customWidth="1" min="6" max="6"/>
  </cols>
  <sheetData>
    <row r="1">
      <c r="A1" s="20" t="inlineStr">
        <is>
          <t>Category</t>
        </is>
      </c>
      <c r="B1" s="20" t="inlineStr">
        <is>
          <t>Type</t>
        </is>
      </c>
      <c r="C1" s="20" t="inlineStr">
        <is>
          <t>Monthly Budget</t>
        </is>
      </c>
      <c r="D1" s="20" t="inlineStr">
        <is>
          <t>Yearly Budget</t>
        </is>
      </c>
      <c r="F1" s="22" t="inlineStr">
        <is>
          <t>How to use</t>
        </is>
      </c>
    </row>
    <row r="2">
      <c r="A2" s="23" t="inlineStr">
        <is>
          <t>Housing</t>
        </is>
      </c>
      <c r="B2" t="inlineStr">
        <is>
          <t>Expense</t>
        </is>
      </c>
      <c r="C2" s="24" t="n">
        <v>1500</v>
      </c>
      <c r="D2" s="16">
        <f>C2*12</f>
        <v/>
      </c>
      <c r="F2" s="25" t="inlineStr">
        <is>
          <t>Yellow cells are yours to edit: category names and monthly budgets.</t>
        </is>
      </c>
    </row>
    <row r="3">
      <c r="A3" s="23" t="inlineStr">
        <is>
          <t>Utilities</t>
        </is>
      </c>
      <c r="B3" t="inlineStr">
        <is>
          <t>Expense</t>
        </is>
      </c>
      <c r="C3" s="24" t="n">
        <v>220</v>
      </c>
      <c r="D3" s="16">
        <f>C3*12</f>
        <v/>
      </c>
      <c r="F3" s="25" t="inlineStr">
        <is>
          <t>Rows 2-13 are spending categories and rows 14-15 are income; the row decides, Type is just a label.</t>
        </is>
      </c>
    </row>
    <row r="4">
      <c r="A4" s="23" t="inlineStr">
        <is>
          <t>Groceries</t>
        </is>
      </c>
      <c r="B4" t="inlineStr">
        <is>
          <t>Expense</t>
        </is>
      </c>
      <c r="C4" s="24" t="n">
        <v>600</v>
      </c>
      <c r="D4" s="16">
        <f>C4*12</f>
        <v/>
      </c>
      <c r="F4" s="25" t="inlineStr">
        <is>
          <t>Rename categories freely, but keep names unique and don't insert or delete rows.</t>
        </is>
      </c>
    </row>
    <row r="5">
      <c r="A5" s="23" t="inlineStr">
        <is>
          <t>Dining Out</t>
        </is>
      </c>
      <c r="B5" t="inlineStr">
        <is>
          <t>Expense</t>
        </is>
      </c>
      <c r="C5" s="24" t="n">
        <v>200</v>
      </c>
      <c r="D5" s="16">
        <f>C5*12</f>
        <v/>
      </c>
      <c r="F5" s="25" t="inlineStr">
        <is>
          <t>Avoid the characters * ? ~ in names (spreadsheets treat them as wildcards).</t>
        </is>
      </c>
    </row>
    <row r="6">
      <c r="A6" s="23" t="inlineStr">
        <is>
          <t>Transportation</t>
        </is>
      </c>
      <c r="B6" t="inlineStr">
        <is>
          <t>Expense</t>
        </is>
      </c>
      <c r="C6" s="24" t="n">
        <v>250</v>
      </c>
      <c r="D6" s="16">
        <f>C6*12</f>
        <v/>
      </c>
      <c r="F6" s="25" t="inlineStr">
        <is>
          <t>Renaming a category here also renames it in the Transactions dropdown,</t>
        </is>
      </c>
    </row>
    <row r="7">
      <c r="A7" s="23" t="inlineStr">
        <is>
          <t>Insurance</t>
        </is>
      </c>
      <c r="B7" t="inlineStr">
        <is>
          <t>Expense</t>
        </is>
      </c>
      <c r="C7" s="24" t="n">
        <v>180</v>
      </c>
      <c r="D7" s="16">
        <f>C7*12</f>
        <v/>
      </c>
      <c r="F7" s="25" t="inlineStr">
        <is>
          <t>but transactions already logged under the old name must be re-picked.</t>
        </is>
      </c>
    </row>
    <row r="8">
      <c r="A8" s="23" t="inlineStr">
        <is>
          <t>Health</t>
        </is>
      </c>
      <c r="B8" t="inlineStr">
        <is>
          <t>Expense</t>
        </is>
      </c>
      <c r="C8" s="24" t="n">
        <v>100</v>
      </c>
      <c r="D8" s="16">
        <f>C8*12</f>
        <v/>
      </c>
      <c r="F8" s="25" t="inlineStr">
        <is>
          <t>Transactions tab: one row per purchase or paycheck, amounts as positive numbers.</t>
        </is>
      </c>
    </row>
    <row r="9">
      <c r="A9" s="23" t="inlineStr">
        <is>
          <t>Subscriptions</t>
        </is>
      </c>
      <c r="B9" t="inlineStr">
        <is>
          <t>Expense</t>
        </is>
      </c>
      <c r="C9" s="24" t="n">
        <v>60</v>
      </c>
      <c r="D9" s="16">
        <f>C9*12</f>
        <v/>
      </c>
      <c r="F9" s="25" t="inlineStr">
        <is>
          <t>The Category decides whether a row counts as income or spending; enter a refund as a negative amount.</t>
        </is>
      </c>
    </row>
    <row r="10">
      <c r="A10" s="23" t="inlineStr">
        <is>
          <t>Shopping</t>
        </is>
      </c>
      <c r="B10" t="inlineStr">
        <is>
          <t>Expense</t>
        </is>
      </c>
      <c r="C10" s="24" t="n">
        <v>150</v>
      </c>
      <c r="D10" s="16">
        <f>C10*12</f>
        <v/>
      </c>
      <c r="F10" s="25" t="inlineStr">
        <is>
          <t>If you log card purchases one by one, don't also log the card bill: it would count twice.</t>
        </is>
      </c>
    </row>
    <row r="11">
      <c r="A11" s="23" t="inlineStr">
        <is>
          <t>Entertainment</t>
        </is>
      </c>
      <c r="B11" t="inlineStr">
        <is>
          <t>Expense</t>
        </is>
      </c>
      <c r="C11" s="24" t="n">
        <v>120</v>
      </c>
      <c r="D11" s="16">
        <f>C11*12</f>
        <v/>
      </c>
    </row>
    <row r="12">
      <c r="A12" s="23" t="inlineStr">
        <is>
          <t>Debt Payments</t>
        </is>
      </c>
      <c r="B12" t="inlineStr">
        <is>
          <t>Expense</t>
        </is>
      </c>
      <c r="C12" s="24" t="n">
        <v>300</v>
      </c>
      <c r="D12" s="16">
        <f>C12*12</f>
        <v/>
      </c>
    </row>
    <row r="13">
      <c r="A13" s="23" t="inlineStr">
        <is>
          <t>Miscellaneous</t>
        </is>
      </c>
      <c r="B13" t="inlineStr">
        <is>
          <t>Expense</t>
        </is>
      </c>
      <c r="C13" s="24" t="n">
        <v>100</v>
      </c>
      <c r="D13" s="16">
        <f>C13*12</f>
        <v/>
      </c>
    </row>
    <row r="14">
      <c r="A14" s="23" t="inlineStr">
        <is>
          <t>Salary</t>
        </is>
      </c>
      <c r="B14" t="inlineStr">
        <is>
          <t>Income</t>
        </is>
      </c>
      <c r="C14" s="24" t="n">
        <v>4200</v>
      </c>
      <c r="D14" s="16">
        <f>C14*12</f>
        <v/>
      </c>
    </row>
    <row r="15">
      <c r="A15" s="23" t="inlineStr">
        <is>
          <t>Other Income</t>
        </is>
      </c>
      <c r="B15" t="inlineStr">
        <is>
          <t>Income</t>
        </is>
      </c>
      <c r="C15" s="24" t="n">
        <v>200</v>
      </c>
      <c r="D15" s="16">
        <f>C15*12</f>
        <v/>
      </c>
    </row>
    <row r="17">
      <c r="A17" s="17" t="inlineStr">
        <is>
          <t>Total expenses</t>
        </is>
      </c>
      <c r="B17" s="17" t="n"/>
      <c r="C17" s="18">
        <f>SUM(C2:C13)</f>
        <v/>
      </c>
      <c r="D17" s="18">
        <f>SUM(D2:D13)</f>
        <v/>
      </c>
    </row>
    <row r="18">
      <c r="A18" s="22" t="inlineStr">
        <is>
          <t>Total income</t>
        </is>
      </c>
      <c r="B18" s="22" t="n"/>
      <c r="C18" s="26">
        <f>SUM(C14:C15)</f>
        <v/>
      </c>
      <c r="D18" s="26">
        <f>SUM(D14:D15)</f>
        <v/>
      </c>
    </row>
    <row r="19">
      <c r="A19" s="22" t="inlineStr">
        <is>
          <t>Planned savings</t>
        </is>
      </c>
      <c r="B19" s="22" t="n"/>
      <c r="C19" s="26">
        <f>ROUND(C18-C17,2)</f>
        <v/>
      </c>
      <c r="D19" s="26">
        <f>ROUND(D18-D17,2)</f>
        <v/>
      </c>
    </row>
  </sheetData>
  <conditionalFormatting sqref="A2:A15">
    <cfRule type="expression" priority="1" dxfId="0">
      <formula>AND($A2&lt;&gt;"",SUMPRODUCT(--($A$2:$A$15=$A2))&gt;1)</formula>
    </cfRule>
  </conditionalFormatting>
  <conditionalFormatting sqref="B2:B15">
    <cfRule type="expression" priority="2" dxfId="3">
      <formula>$B2="Income"</formula>
    </cfRule>
  </conditionalFormatting>
  <dataValidations count="1">
    <dataValidation sqref="C2:C15" showDropDown="0" showInputMessage="0" showErrorMessage="1" allowBlank="1" errorTitle="Not a number" error="Enter the monthly budget as a plain number, for example 250." type="decimal" operator="between">
      <formula1>0</formula1>
      <formula2>1000000000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9"/>
  <sheetViews>
    <sheetView tabSelected="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3" customWidth="1" min="14" max="14"/>
    <col width="13" customWidth="1" min="15" max="15"/>
    <col width="13" customWidth="1" min="16" max="16"/>
    <col width="12" customWidth="1" min="17" max="17"/>
    <col width="14" customWidth="1" min="18" max="18"/>
    <col width="14" customWidth="1" min="19" max="19"/>
    <col width="13" customWidth="1" min="20" max="20"/>
    <col hidden="1" width="14" customWidth="1" min="21" max="21"/>
  </cols>
  <sheetData>
    <row r="1">
      <c r="A1" s="20">
        <f>"Category ("&amp;Dashboard!$B$5&amp;")"</f>
        <v/>
      </c>
      <c r="B1" s="20" t="inlineStr">
        <is>
          <t>Jan</t>
        </is>
      </c>
      <c r="C1" s="20" t="inlineStr">
        <is>
          <t>Feb</t>
        </is>
      </c>
      <c r="D1" s="20" t="inlineStr">
        <is>
          <t>Mar</t>
        </is>
      </c>
      <c r="E1" s="20" t="inlineStr">
        <is>
          <t>Apr</t>
        </is>
      </c>
      <c r="F1" s="20" t="inlineStr">
        <is>
          <t>May</t>
        </is>
      </c>
      <c r="G1" s="20" t="inlineStr">
        <is>
          <t>Jun</t>
        </is>
      </c>
      <c r="H1" s="20" t="inlineStr">
        <is>
          <t>Jul</t>
        </is>
      </c>
      <c r="I1" s="20" t="inlineStr">
        <is>
          <t>Aug</t>
        </is>
      </c>
      <c r="J1" s="20" t="inlineStr">
        <is>
          <t>Sep</t>
        </is>
      </c>
      <c r="K1" s="20" t="inlineStr">
        <is>
          <t>Oct</t>
        </is>
      </c>
      <c r="L1" s="20" t="inlineStr">
        <is>
          <t>Nov</t>
        </is>
      </c>
      <c r="M1" s="20" t="inlineStr">
        <is>
          <t>Dec</t>
        </is>
      </c>
      <c r="N1" s="20" t="inlineStr">
        <is>
          <t>Year Actual</t>
        </is>
      </c>
      <c r="O1" s="20" t="inlineStr">
        <is>
          <t>Year Budget</t>
        </is>
      </c>
      <c r="P1" s="20" t="inlineStr">
        <is>
          <t>Year Left</t>
        </is>
      </c>
      <c r="Q1" s="20" t="inlineStr">
        <is>
          <t>% of Budget</t>
        </is>
      </c>
      <c r="R1" s="20" t="inlineStr">
        <is>
          <t>Month Budget</t>
        </is>
      </c>
      <c r="S1" s="20" t="inlineStr">
        <is>
          <t>Month Actual</t>
        </is>
      </c>
      <c r="T1" s="20" t="inlineStr">
        <is>
          <t>Month Left</t>
        </is>
      </c>
      <c r="U1" s="20" t="inlineStr">
        <is>
          <t>Match key</t>
        </is>
      </c>
    </row>
    <row r="2">
      <c r="A2">
        <f>IF(Budget!A2="","(unused)",Budget!A2)</f>
        <v/>
      </c>
      <c r="B2" s="16">
        <f>SUMIFS(Transactions!$D:$D,Transactions!$C:$C,$U2,Transactions!$A:$A,"&gt;="&amp;DATE(Dashboard!$B$5,1,1),Transactions!$A:$A,"&lt;"&amp;DATE(Dashboard!$B$5,2,1))</f>
        <v/>
      </c>
      <c r="C2" s="16">
        <f>SUMIFS(Transactions!$D:$D,Transactions!$C:$C,$U2,Transactions!$A:$A,"&gt;="&amp;DATE(Dashboard!$B$5,2,1),Transactions!$A:$A,"&lt;"&amp;DATE(Dashboard!$B$5,3,1))</f>
        <v/>
      </c>
      <c r="D2" s="16">
        <f>SUMIFS(Transactions!$D:$D,Transactions!$C:$C,$U2,Transactions!$A:$A,"&gt;="&amp;DATE(Dashboard!$B$5,3,1),Transactions!$A:$A,"&lt;"&amp;DATE(Dashboard!$B$5,4,1))</f>
        <v/>
      </c>
      <c r="E2" s="16">
        <f>SUMIFS(Transactions!$D:$D,Transactions!$C:$C,$U2,Transactions!$A:$A,"&gt;="&amp;DATE(Dashboard!$B$5,4,1),Transactions!$A:$A,"&lt;"&amp;DATE(Dashboard!$B$5,5,1))</f>
        <v/>
      </c>
      <c r="F2" s="16">
        <f>SUMIFS(Transactions!$D:$D,Transactions!$C:$C,$U2,Transactions!$A:$A,"&gt;="&amp;DATE(Dashboard!$B$5,5,1),Transactions!$A:$A,"&lt;"&amp;DATE(Dashboard!$B$5,6,1))</f>
        <v/>
      </c>
      <c r="G2" s="16">
        <f>SUMIFS(Transactions!$D:$D,Transactions!$C:$C,$U2,Transactions!$A:$A,"&gt;="&amp;DATE(Dashboard!$B$5,6,1),Transactions!$A:$A,"&lt;"&amp;DATE(Dashboard!$B$5,7,1))</f>
        <v/>
      </c>
      <c r="H2" s="16">
        <f>SUMIFS(Transactions!$D:$D,Transactions!$C:$C,$U2,Transactions!$A:$A,"&gt;="&amp;DATE(Dashboard!$B$5,7,1),Transactions!$A:$A,"&lt;"&amp;DATE(Dashboard!$B$5,8,1))</f>
        <v/>
      </c>
      <c r="I2" s="16">
        <f>SUMIFS(Transactions!$D:$D,Transactions!$C:$C,$U2,Transactions!$A:$A,"&gt;="&amp;DATE(Dashboard!$B$5,8,1),Transactions!$A:$A,"&lt;"&amp;DATE(Dashboard!$B$5,9,1))</f>
        <v/>
      </c>
      <c r="J2" s="16">
        <f>SUMIFS(Transactions!$D:$D,Transactions!$C:$C,$U2,Transactions!$A:$A,"&gt;="&amp;DATE(Dashboard!$B$5,9,1),Transactions!$A:$A,"&lt;"&amp;DATE(Dashboard!$B$5,10,1))</f>
        <v/>
      </c>
      <c r="K2" s="16">
        <f>SUMIFS(Transactions!$D:$D,Transactions!$C:$C,$U2,Transactions!$A:$A,"&gt;="&amp;DATE(Dashboard!$B$5,10,1),Transactions!$A:$A,"&lt;"&amp;DATE(Dashboard!$B$5,11,1))</f>
        <v/>
      </c>
      <c r="L2" s="16">
        <f>SUMIFS(Transactions!$D:$D,Transactions!$C:$C,$U2,Transactions!$A:$A,"&gt;="&amp;DATE(Dashboard!$B$5,11,1),Transactions!$A:$A,"&lt;"&amp;DATE(Dashboard!$B$5,12,1))</f>
        <v/>
      </c>
      <c r="M2" s="16">
        <f>SUMIFS(Transactions!$D:$D,Transactions!$C:$C,$U2,Transactions!$A:$A,"&gt;="&amp;DATE(Dashboard!$B$5,12,1),Transactions!$A:$A,"&lt;"&amp;DATE(Dashboard!$B$5,13,1))</f>
        <v/>
      </c>
      <c r="N2" s="16">
        <f>SUM(B2:M2)</f>
        <v/>
      </c>
      <c r="O2" s="16">
        <f>Budget!D2</f>
        <v/>
      </c>
      <c r="P2" s="16">
        <f>ROUND(O2-N2,2)</f>
        <v/>
      </c>
      <c r="Q2" s="27">
        <f>IF(O2=0,"",N2/O2)</f>
        <v/>
      </c>
      <c r="R2" s="16">
        <f>Budget!C2</f>
        <v/>
      </c>
      <c r="S2" s="16">
        <f>IF(ISNUMBER(Dashboard!$F$5),INDEX(B2:M2,1,MONTH(Dashboard!$F$5)),0)</f>
        <v/>
      </c>
      <c r="T2" s="16">
        <f>ROUND(R2-S2,2)</f>
        <v/>
      </c>
      <c r="U2">
        <f>SUBSTITUTE(SUBSTITUTE(SUBSTITUTE($A2,"~","~~"),"*","~*"),"?","~?")</f>
        <v/>
      </c>
    </row>
    <row r="3">
      <c r="A3">
        <f>IF(Budget!A3="","(unused)",Budget!A3)</f>
        <v/>
      </c>
      <c r="B3" s="16">
        <f>SUMIFS(Transactions!$D:$D,Transactions!$C:$C,$U3,Transactions!$A:$A,"&gt;="&amp;DATE(Dashboard!$B$5,1,1),Transactions!$A:$A,"&lt;"&amp;DATE(Dashboard!$B$5,2,1))</f>
        <v/>
      </c>
      <c r="C3" s="16">
        <f>SUMIFS(Transactions!$D:$D,Transactions!$C:$C,$U3,Transactions!$A:$A,"&gt;="&amp;DATE(Dashboard!$B$5,2,1),Transactions!$A:$A,"&lt;"&amp;DATE(Dashboard!$B$5,3,1))</f>
        <v/>
      </c>
      <c r="D3" s="16">
        <f>SUMIFS(Transactions!$D:$D,Transactions!$C:$C,$U3,Transactions!$A:$A,"&gt;="&amp;DATE(Dashboard!$B$5,3,1),Transactions!$A:$A,"&lt;"&amp;DATE(Dashboard!$B$5,4,1))</f>
        <v/>
      </c>
      <c r="E3" s="16">
        <f>SUMIFS(Transactions!$D:$D,Transactions!$C:$C,$U3,Transactions!$A:$A,"&gt;="&amp;DATE(Dashboard!$B$5,4,1),Transactions!$A:$A,"&lt;"&amp;DATE(Dashboard!$B$5,5,1))</f>
        <v/>
      </c>
      <c r="F3" s="16">
        <f>SUMIFS(Transactions!$D:$D,Transactions!$C:$C,$U3,Transactions!$A:$A,"&gt;="&amp;DATE(Dashboard!$B$5,5,1),Transactions!$A:$A,"&lt;"&amp;DATE(Dashboard!$B$5,6,1))</f>
        <v/>
      </c>
      <c r="G3" s="16">
        <f>SUMIFS(Transactions!$D:$D,Transactions!$C:$C,$U3,Transactions!$A:$A,"&gt;="&amp;DATE(Dashboard!$B$5,6,1),Transactions!$A:$A,"&lt;"&amp;DATE(Dashboard!$B$5,7,1))</f>
        <v/>
      </c>
      <c r="H3" s="16">
        <f>SUMIFS(Transactions!$D:$D,Transactions!$C:$C,$U3,Transactions!$A:$A,"&gt;="&amp;DATE(Dashboard!$B$5,7,1),Transactions!$A:$A,"&lt;"&amp;DATE(Dashboard!$B$5,8,1))</f>
        <v/>
      </c>
      <c r="I3" s="16">
        <f>SUMIFS(Transactions!$D:$D,Transactions!$C:$C,$U3,Transactions!$A:$A,"&gt;="&amp;DATE(Dashboard!$B$5,8,1),Transactions!$A:$A,"&lt;"&amp;DATE(Dashboard!$B$5,9,1))</f>
        <v/>
      </c>
      <c r="J3" s="16">
        <f>SUMIFS(Transactions!$D:$D,Transactions!$C:$C,$U3,Transactions!$A:$A,"&gt;="&amp;DATE(Dashboard!$B$5,9,1),Transactions!$A:$A,"&lt;"&amp;DATE(Dashboard!$B$5,10,1))</f>
        <v/>
      </c>
      <c r="K3" s="16">
        <f>SUMIFS(Transactions!$D:$D,Transactions!$C:$C,$U3,Transactions!$A:$A,"&gt;="&amp;DATE(Dashboard!$B$5,10,1),Transactions!$A:$A,"&lt;"&amp;DATE(Dashboard!$B$5,11,1))</f>
        <v/>
      </c>
      <c r="L3" s="16">
        <f>SUMIFS(Transactions!$D:$D,Transactions!$C:$C,$U3,Transactions!$A:$A,"&gt;="&amp;DATE(Dashboard!$B$5,11,1),Transactions!$A:$A,"&lt;"&amp;DATE(Dashboard!$B$5,12,1))</f>
        <v/>
      </c>
      <c r="M3" s="16">
        <f>SUMIFS(Transactions!$D:$D,Transactions!$C:$C,$U3,Transactions!$A:$A,"&gt;="&amp;DATE(Dashboard!$B$5,12,1),Transactions!$A:$A,"&lt;"&amp;DATE(Dashboard!$B$5,13,1))</f>
        <v/>
      </c>
      <c r="N3" s="16">
        <f>SUM(B3:M3)</f>
        <v/>
      </c>
      <c r="O3" s="16">
        <f>Budget!D3</f>
        <v/>
      </c>
      <c r="P3" s="16">
        <f>ROUND(O3-N3,2)</f>
        <v/>
      </c>
      <c r="Q3" s="27">
        <f>IF(O3=0,"",N3/O3)</f>
        <v/>
      </c>
      <c r="R3" s="16">
        <f>Budget!C3</f>
        <v/>
      </c>
      <c r="S3" s="16">
        <f>IF(ISNUMBER(Dashboard!$F$5),INDEX(B3:M3,1,MONTH(Dashboard!$F$5)),0)</f>
        <v/>
      </c>
      <c r="T3" s="16">
        <f>ROUND(R3-S3,2)</f>
        <v/>
      </c>
      <c r="U3">
        <f>SUBSTITUTE(SUBSTITUTE(SUBSTITUTE($A3,"~","~~"),"*","~*"),"?","~?")</f>
        <v/>
      </c>
    </row>
    <row r="4">
      <c r="A4">
        <f>IF(Budget!A4="","(unused)",Budget!A4)</f>
        <v/>
      </c>
      <c r="B4" s="16">
        <f>SUMIFS(Transactions!$D:$D,Transactions!$C:$C,$U4,Transactions!$A:$A,"&gt;="&amp;DATE(Dashboard!$B$5,1,1),Transactions!$A:$A,"&lt;"&amp;DATE(Dashboard!$B$5,2,1))</f>
        <v/>
      </c>
      <c r="C4" s="16">
        <f>SUMIFS(Transactions!$D:$D,Transactions!$C:$C,$U4,Transactions!$A:$A,"&gt;="&amp;DATE(Dashboard!$B$5,2,1),Transactions!$A:$A,"&lt;"&amp;DATE(Dashboard!$B$5,3,1))</f>
        <v/>
      </c>
      <c r="D4" s="16">
        <f>SUMIFS(Transactions!$D:$D,Transactions!$C:$C,$U4,Transactions!$A:$A,"&gt;="&amp;DATE(Dashboard!$B$5,3,1),Transactions!$A:$A,"&lt;"&amp;DATE(Dashboard!$B$5,4,1))</f>
        <v/>
      </c>
      <c r="E4" s="16">
        <f>SUMIFS(Transactions!$D:$D,Transactions!$C:$C,$U4,Transactions!$A:$A,"&gt;="&amp;DATE(Dashboard!$B$5,4,1),Transactions!$A:$A,"&lt;"&amp;DATE(Dashboard!$B$5,5,1))</f>
        <v/>
      </c>
      <c r="F4" s="16">
        <f>SUMIFS(Transactions!$D:$D,Transactions!$C:$C,$U4,Transactions!$A:$A,"&gt;="&amp;DATE(Dashboard!$B$5,5,1),Transactions!$A:$A,"&lt;"&amp;DATE(Dashboard!$B$5,6,1))</f>
        <v/>
      </c>
      <c r="G4" s="16">
        <f>SUMIFS(Transactions!$D:$D,Transactions!$C:$C,$U4,Transactions!$A:$A,"&gt;="&amp;DATE(Dashboard!$B$5,6,1),Transactions!$A:$A,"&lt;"&amp;DATE(Dashboard!$B$5,7,1))</f>
        <v/>
      </c>
      <c r="H4" s="16">
        <f>SUMIFS(Transactions!$D:$D,Transactions!$C:$C,$U4,Transactions!$A:$A,"&gt;="&amp;DATE(Dashboard!$B$5,7,1),Transactions!$A:$A,"&lt;"&amp;DATE(Dashboard!$B$5,8,1))</f>
        <v/>
      </c>
      <c r="I4" s="16">
        <f>SUMIFS(Transactions!$D:$D,Transactions!$C:$C,$U4,Transactions!$A:$A,"&gt;="&amp;DATE(Dashboard!$B$5,8,1),Transactions!$A:$A,"&lt;"&amp;DATE(Dashboard!$B$5,9,1))</f>
        <v/>
      </c>
      <c r="J4" s="16">
        <f>SUMIFS(Transactions!$D:$D,Transactions!$C:$C,$U4,Transactions!$A:$A,"&gt;="&amp;DATE(Dashboard!$B$5,9,1),Transactions!$A:$A,"&lt;"&amp;DATE(Dashboard!$B$5,10,1))</f>
        <v/>
      </c>
      <c r="K4" s="16">
        <f>SUMIFS(Transactions!$D:$D,Transactions!$C:$C,$U4,Transactions!$A:$A,"&gt;="&amp;DATE(Dashboard!$B$5,10,1),Transactions!$A:$A,"&lt;"&amp;DATE(Dashboard!$B$5,11,1))</f>
        <v/>
      </c>
      <c r="L4" s="16">
        <f>SUMIFS(Transactions!$D:$D,Transactions!$C:$C,$U4,Transactions!$A:$A,"&gt;="&amp;DATE(Dashboard!$B$5,11,1),Transactions!$A:$A,"&lt;"&amp;DATE(Dashboard!$B$5,12,1))</f>
        <v/>
      </c>
      <c r="M4" s="16">
        <f>SUMIFS(Transactions!$D:$D,Transactions!$C:$C,$U4,Transactions!$A:$A,"&gt;="&amp;DATE(Dashboard!$B$5,12,1),Transactions!$A:$A,"&lt;"&amp;DATE(Dashboard!$B$5,13,1))</f>
        <v/>
      </c>
      <c r="N4" s="16">
        <f>SUM(B4:M4)</f>
        <v/>
      </c>
      <c r="O4" s="16">
        <f>Budget!D4</f>
        <v/>
      </c>
      <c r="P4" s="16">
        <f>ROUND(O4-N4,2)</f>
        <v/>
      </c>
      <c r="Q4" s="27">
        <f>IF(O4=0,"",N4/O4)</f>
        <v/>
      </c>
      <c r="R4" s="16">
        <f>Budget!C4</f>
        <v/>
      </c>
      <c r="S4" s="16">
        <f>IF(ISNUMBER(Dashboard!$F$5),INDEX(B4:M4,1,MONTH(Dashboard!$F$5)),0)</f>
        <v/>
      </c>
      <c r="T4" s="16">
        <f>ROUND(R4-S4,2)</f>
        <v/>
      </c>
      <c r="U4">
        <f>SUBSTITUTE(SUBSTITUTE(SUBSTITUTE($A4,"~","~~"),"*","~*"),"?","~?")</f>
        <v/>
      </c>
    </row>
    <row r="5">
      <c r="A5">
        <f>IF(Budget!A5="","(unused)",Budget!A5)</f>
        <v/>
      </c>
      <c r="B5" s="16">
        <f>SUMIFS(Transactions!$D:$D,Transactions!$C:$C,$U5,Transactions!$A:$A,"&gt;="&amp;DATE(Dashboard!$B$5,1,1),Transactions!$A:$A,"&lt;"&amp;DATE(Dashboard!$B$5,2,1))</f>
        <v/>
      </c>
      <c r="C5" s="16">
        <f>SUMIFS(Transactions!$D:$D,Transactions!$C:$C,$U5,Transactions!$A:$A,"&gt;="&amp;DATE(Dashboard!$B$5,2,1),Transactions!$A:$A,"&lt;"&amp;DATE(Dashboard!$B$5,3,1))</f>
        <v/>
      </c>
      <c r="D5" s="16">
        <f>SUMIFS(Transactions!$D:$D,Transactions!$C:$C,$U5,Transactions!$A:$A,"&gt;="&amp;DATE(Dashboard!$B$5,3,1),Transactions!$A:$A,"&lt;"&amp;DATE(Dashboard!$B$5,4,1))</f>
        <v/>
      </c>
      <c r="E5" s="16">
        <f>SUMIFS(Transactions!$D:$D,Transactions!$C:$C,$U5,Transactions!$A:$A,"&gt;="&amp;DATE(Dashboard!$B$5,4,1),Transactions!$A:$A,"&lt;"&amp;DATE(Dashboard!$B$5,5,1))</f>
        <v/>
      </c>
      <c r="F5" s="16">
        <f>SUMIFS(Transactions!$D:$D,Transactions!$C:$C,$U5,Transactions!$A:$A,"&gt;="&amp;DATE(Dashboard!$B$5,5,1),Transactions!$A:$A,"&lt;"&amp;DATE(Dashboard!$B$5,6,1))</f>
        <v/>
      </c>
      <c r="G5" s="16">
        <f>SUMIFS(Transactions!$D:$D,Transactions!$C:$C,$U5,Transactions!$A:$A,"&gt;="&amp;DATE(Dashboard!$B$5,6,1),Transactions!$A:$A,"&lt;"&amp;DATE(Dashboard!$B$5,7,1))</f>
        <v/>
      </c>
      <c r="H5" s="16">
        <f>SUMIFS(Transactions!$D:$D,Transactions!$C:$C,$U5,Transactions!$A:$A,"&gt;="&amp;DATE(Dashboard!$B$5,7,1),Transactions!$A:$A,"&lt;"&amp;DATE(Dashboard!$B$5,8,1))</f>
        <v/>
      </c>
      <c r="I5" s="16">
        <f>SUMIFS(Transactions!$D:$D,Transactions!$C:$C,$U5,Transactions!$A:$A,"&gt;="&amp;DATE(Dashboard!$B$5,8,1),Transactions!$A:$A,"&lt;"&amp;DATE(Dashboard!$B$5,9,1))</f>
        <v/>
      </c>
      <c r="J5" s="16">
        <f>SUMIFS(Transactions!$D:$D,Transactions!$C:$C,$U5,Transactions!$A:$A,"&gt;="&amp;DATE(Dashboard!$B$5,9,1),Transactions!$A:$A,"&lt;"&amp;DATE(Dashboard!$B$5,10,1))</f>
        <v/>
      </c>
      <c r="K5" s="16">
        <f>SUMIFS(Transactions!$D:$D,Transactions!$C:$C,$U5,Transactions!$A:$A,"&gt;="&amp;DATE(Dashboard!$B$5,10,1),Transactions!$A:$A,"&lt;"&amp;DATE(Dashboard!$B$5,11,1))</f>
        <v/>
      </c>
      <c r="L5" s="16">
        <f>SUMIFS(Transactions!$D:$D,Transactions!$C:$C,$U5,Transactions!$A:$A,"&gt;="&amp;DATE(Dashboard!$B$5,11,1),Transactions!$A:$A,"&lt;"&amp;DATE(Dashboard!$B$5,12,1))</f>
        <v/>
      </c>
      <c r="M5" s="16">
        <f>SUMIFS(Transactions!$D:$D,Transactions!$C:$C,$U5,Transactions!$A:$A,"&gt;="&amp;DATE(Dashboard!$B$5,12,1),Transactions!$A:$A,"&lt;"&amp;DATE(Dashboard!$B$5,13,1))</f>
        <v/>
      </c>
      <c r="N5" s="16">
        <f>SUM(B5:M5)</f>
        <v/>
      </c>
      <c r="O5" s="16">
        <f>Budget!D5</f>
        <v/>
      </c>
      <c r="P5" s="16">
        <f>ROUND(O5-N5,2)</f>
        <v/>
      </c>
      <c r="Q5" s="27">
        <f>IF(O5=0,"",N5/O5)</f>
        <v/>
      </c>
      <c r="R5" s="16">
        <f>Budget!C5</f>
        <v/>
      </c>
      <c r="S5" s="16">
        <f>IF(ISNUMBER(Dashboard!$F$5),INDEX(B5:M5,1,MONTH(Dashboard!$F$5)),0)</f>
        <v/>
      </c>
      <c r="T5" s="16">
        <f>ROUND(R5-S5,2)</f>
        <v/>
      </c>
      <c r="U5">
        <f>SUBSTITUTE(SUBSTITUTE(SUBSTITUTE($A5,"~","~~"),"*","~*"),"?","~?")</f>
        <v/>
      </c>
    </row>
    <row r="6">
      <c r="A6">
        <f>IF(Budget!A6="","(unused)",Budget!A6)</f>
        <v/>
      </c>
      <c r="B6" s="16">
        <f>SUMIFS(Transactions!$D:$D,Transactions!$C:$C,$U6,Transactions!$A:$A,"&gt;="&amp;DATE(Dashboard!$B$5,1,1),Transactions!$A:$A,"&lt;"&amp;DATE(Dashboard!$B$5,2,1))</f>
        <v/>
      </c>
      <c r="C6" s="16">
        <f>SUMIFS(Transactions!$D:$D,Transactions!$C:$C,$U6,Transactions!$A:$A,"&gt;="&amp;DATE(Dashboard!$B$5,2,1),Transactions!$A:$A,"&lt;"&amp;DATE(Dashboard!$B$5,3,1))</f>
        <v/>
      </c>
      <c r="D6" s="16">
        <f>SUMIFS(Transactions!$D:$D,Transactions!$C:$C,$U6,Transactions!$A:$A,"&gt;="&amp;DATE(Dashboard!$B$5,3,1),Transactions!$A:$A,"&lt;"&amp;DATE(Dashboard!$B$5,4,1))</f>
        <v/>
      </c>
      <c r="E6" s="16">
        <f>SUMIFS(Transactions!$D:$D,Transactions!$C:$C,$U6,Transactions!$A:$A,"&gt;="&amp;DATE(Dashboard!$B$5,4,1),Transactions!$A:$A,"&lt;"&amp;DATE(Dashboard!$B$5,5,1))</f>
        <v/>
      </c>
      <c r="F6" s="16">
        <f>SUMIFS(Transactions!$D:$D,Transactions!$C:$C,$U6,Transactions!$A:$A,"&gt;="&amp;DATE(Dashboard!$B$5,5,1),Transactions!$A:$A,"&lt;"&amp;DATE(Dashboard!$B$5,6,1))</f>
        <v/>
      </c>
      <c r="G6" s="16">
        <f>SUMIFS(Transactions!$D:$D,Transactions!$C:$C,$U6,Transactions!$A:$A,"&gt;="&amp;DATE(Dashboard!$B$5,6,1),Transactions!$A:$A,"&lt;"&amp;DATE(Dashboard!$B$5,7,1))</f>
        <v/>
      </c>
      <c r="H6" s="16">
        <f>SUMIFS(Transactions!$D:$D,Transactions!$C:$C,$U6,Transactions!$A:$A,"&gt;="&amp;DATE(Dashboard!$B$5,7,1),Transactions!$A:$A,"&lt;"&amp;DATE(Dashboard!$B$5,8,1))</f>
        <v/>
      </c>
      <c r="I6" s="16">
        <f>SUMIFS(Transactions!$D:$D,Transactions!$C:$C,$U6,Transactions!$A:$A,"&gt;="&amp;DATE(Dashboard!$B$5,8,1),Transactions!$A:$A,"&lt;"&amp;DATE(Dashboard!$B$5,9,1))</f>
        <v/>
      </c>
      <c r="J6" s="16">
        <f>SUMIFS(Transactions!$D:$D,Transactions!$C:$C,$U6,Transactions!$A:$A,"&gt;="&amp;DATE(Dashboard!$B$5,9,1),Transactions!$A:$A,"&lt;"&amp;DATE(Dashboard!$B$5,10,1))</f>
        <v/>
      </c>
      <c r="K6" s="16">
        <f>SUMIFS(Transactions!$D:$D,Transactions!$C:$C,$U6,Transactions!$A:$A,"&gt;="&amp;DATE(Dashboard!$B$5,10,1),Transactions!$A:$A,"&lt;"&amp;DATE(Dashboard!$B$5,11,1))</f>
        <v/>
      </c>
      <c r="L6" s="16">
        <f>SUMIFS(Transactions!$D:$D,Transactions!$C:$C,$U6,Transactions!$A:$A,"&gt;="&amp;DATE(Dashboard!$B$5,11,1),Transactions!$A:$A,"&lt;"&amp;DATE(Dashboard!$B$5,12,1))</f>
        <v/>
      </c>
      <c r="M6" s="16">
        <f>SUMIFS(Transactions!$D:$D,Transactions!$C:$C,$U6,Transactions!$A:$A,"&gt;="&amp;DATE(Dashboard!$B$5,12,1),Transactions!$A:$A,"&lt;"&amp;DATE(Dashboard!$B$5,13,1))</f>
        <v/>
      </c>
      <c r="N6" s="16">
        <f>SUM(B6:M6)</f>
        <v/>
      </c>
      <c r="O6" s="16">
        <f>Budget!D6</f>
        <v/>
      </c>
      <c r="P6" s="16">
        <f>ROUND(O6-N6,2)</f>
        <v/>
      </c>
      <c r="Q6" s="27">
        <f>IF(O6=0,"",N6/O6)</f>
        <v/>
      </c>
      <c r="R6" s="16">
        <f>Budget!C6</f>
        <v/>
      </c>
      <c r="S6" s="16">
        <f>IF(ISNUMBER(Dashboard!$F$5),INDEX(B6:M6,1,MONTH(Dashboard!$F$5)),0)</f>
        <v/>
      </c>
      <c r="T6" s="16">
        <f>ROUND(R6-S6,2)</f>
        <v/>
      </c>
      <c r="U6">
        <f>SUBSTITUTE(SUBSTITUTE(SUBSTITUTE($A6,"~","~~"),"*","~*"),"?","~?")</f>
        <v/>
      </c>
    </row>
    <row r="7">
      <c r="A7">
        <f>IF(Budget!A7="","(unused)",Budget!A7)</f>
        <v/>
      </c>
      <c r="B7" s="16">
        <f>SUMIFS(Transactions!$D:$D,Transactions!$C:$C,$U7,Transactions!$A:$A,"&gt;="&amp;DATE(Dashboard!$B$5,1,1),Transactions!$A:$A,"&lt;"&amp;DATE(Dashboard!$B$5,2,1))</f>
        <v/>
      </c>
      <c r="C7" s="16">
        <f>SUMIFS(Transactions!$D:$D,Transactions!$C:$C,$U7,Transactions!$A:$A,"&gt;="&amp;DATE(Dashboard!$B$5,2,1),Transactions!$A:$A,"&lt;"&amp;DATE(Dashboard!$B$5,3,1))</f>
        <v/>
      </c>
      <c r="D7" s="16">
        <f>SUMIFS(Transactions!$D:$D,Transactions!$C:$C,$U7,Transactions!$A:$A,"&gt;="&amp;DATE(Dashboard!$B$5,3,1),Transactions!$A:$A,"&lt;"&amp;DATE(Dashboard!$B$5,4,1))</f>
        <v/>
      </c>
      <c r="E7" s="16">
        <f>SUMIFS(Transactions!$D:$D,Transactions!$C:$C,$U7,Transactions!$A:$A,"&gt;="&amp;DATE(Dashboard!$B$5,4,1),Transactions!$A:$A,"&lt;"&amp;DATE(Dashboard!$B$5,5,1))</f>
        <v/>
      </c>
      <c r="F7" s="16">
        <f>SUMIFS(Transactions!$D:$D,Transactions!$C:$C,$U7,Transactions!$A:$A,"&gt;="&amp;DATE(Dashboard!$B$5,5,1),Transactions!$A:$A,"&lt;"&amp;DATE(Dashboard!$B$5,6,1))</f>
        <v/>
      </c>
      <c r="G7" s="16">
        <f>SUMIFS(Transactions!$D:$D,Transactions!$C:$C,$U7,Transactions!$A:$A,"&gt;="&amp;DATE(Dashboard!$B$5,6,1),Transactions!$A:$A,"&lt;"&amp;DATE(Dashboard!$B$5,7,1))</f>
        <v/>
      </c>
      <c r="H7" s="16">
        <f>SUMIFS(Transactions!$D:$D,Transactions!$C:$C,$U7,Transactions!$A:$A,"&gt;="&amp;DATE(Dashboard!$B$5,7,1),Transactions!$A:$A,"&lt;"&amp;DATE(Dashboard!$B$5,8,1))</f>
        <v/>
      </c>
      <c r="I7" s="16">
        <f>SUMIFS(Transactions!$D:$D,Transactions!$C:$C,$U7,Transactions!$A:$A,"&gt;="&amp;DATE(Dashboard!$B$5,8,1),Transactions!$A:$A,"&lt;"&amp;DATE(Dashboard!$B$5,9,1))</f>
        <v/>
      </c>
      <c r="J7" s="16">
        <f>SUMIFS(Transactions!$D:$D,Transactions!$C:$C,$U7,Transactions!$A:$A,"&gt;="&amp;DATE(Dashboard!$B$5,9,1),Transactions!$A:$A,"&lt;"&amp;DATE(Dashboard!$B$5,10,1))</f>
        <v/>
      </c>
      <c r="K7" s="16">
        <f>SUMIFS(Transactions!$D:$D,Transactions!$C:$C,$U7,Transactions!$A:$A,"&gt;="&amp;DATE(Dashboard!$B$5,10,1),Transactions!$A:$A,"&lt;"&amp;DATE(Dashboard!$B$5,11,1))</f>
        <v/>
      </c>
      <c r="L7" s="16">
        <f>SUMIFS(Transactions!$D:$D,Transactions!$C:$C,$U7,Transactions!$A:$A,"&gt;="&amp;DATE(Dashboard!$B$5,11,1),Transactions!$A:$A,"&lt;"&amp;DATE(Dashboard!$B$5,12,1))</f>
        <v/>
      </c>
      <c r="M7" s="16">
        <f>SUMIFS(Transactions!$D:$D,Transactions!$C:$C,$U7,Transactions!$A:$A,"&gt;="&amp;DATE(Dashboard!$B$5,12,1),Transactions!$A:$A,"&lt;"&amp;DATE(Dashboard!$B$5,13,1))</f>
        <v/>
      </c>
      <c r="N7" s="16">
        <f>SUM(B7:M7)</f>
        <v/>
      </c>
      <c r="O7" s="16">
        <f>Budget!D7</f>
        <v/>
      </c>
      <c r="P7" s="16">
        <f>ROUND(O7-N7,2)</f>
        <v/>
      </c>
      <c r="Q7" s="27">
        <f>IF(O7=0,"",N7/O7)</f>
        <v/>
      </c>
      <c r="R7" s="16">
        <f>Budget!C7</f>
        <v/>
      </c>
      <c r="S7" s="16">
        <f>IF(ISNUMBER(Dashboard!$F$5),INDEX(B7:M7,1,MONTH(Dashboard!$F$5)),0)</f>
        <v/>
      </c>
      <c r="T7" s="16">
        <f>ROUND(R7-S7,2)</f>
        <v/>
      </c>
      <c r="U7">
        <f>SUBSTITUTE(SUBSTITUTE(SUBSTITUTE($A7,"~","~~"),"*","~*"),"?","~?")</f>
        <v/>
      </c>
    </row>
    <row r="8">
      <c r="A8">
        <f>IF(Budget!A8="","(unused)",Budget!A8)</f>
        <v/>
      </c>
      <c r="B8" s="16">
        <f>SUMIFS(Transactions!$D:$D,Transactions!$C:$C,$U8,Transactions!$A:$A,"&gt;="&amp;DATE(Dashboard!$B$5,1,1),Transactions!$A:$A,"&lt;"&amp;DATE(Dashboard!$B$5,2,1))</f>
        <v/>
      </c>
      <c r="C8" s="16">
        <f>SUMIFS(Transactions!$D:$D,Transactions!$C:$C,$U8,Transactions!$A:$A,"&gt;="&amp;DATE(Dashboard!$B$5,2,1),Transactions!$A:$A,"&lt;"&amp;DATE(Dashboard!$B$5,3,1))</f>
        <v/>
      </c>
      <c r="D8" s="16">
        <f>SUMIFS(Transactions!$D:$D,Transactions!$C:$C,$U8,Transactions!$A:$A,"&gt;="&amp;DATE(Dashboard!$B$5,3,1),Transactions!$A:$A,"&lt;"&amp;DATE(Dashboard!$B$5,4,1))</f>
        <v/>
      </c>
      <c r="E8" s="16">
        <f>SUMIFS(Transactions!$D:$D,Transactions!$C:$C,$U8,Transactions!$A:$A,"&gt;="&amp;DATE(Dashboard!$B$5,4,1),Transactions!$A:$A,"&lt;"&amp;DATE(Dashboard!$B$5,5,1))</f>
        <v/>
      </c>
      <c r="F8" s="16">
        <f>SUMIFS(Transactions!$D:$D,Transactions!$C:$C,$U8,Transactions!$A:$A,"&gt;="&amp;DATE(Dashboard!$B$5,5,1),Transactions!$A:$A,"&lt;"&amp;DATE(Dashboard!$B$5,6,1))</f>
        <v/>
      </c>
      <c r="G8" s="16">
        <f>SUMIFS(Transactions!$D:$D,Transactions!$C:$C,$U8,Transactions!$A:$A,"&gt;="&amp;DATE(Dashboard!$B$5,6,1),Transactions!$A:$A,"&lt;"&amp;DATE(Dashboard!$B$5,7,1))</f>
        <v/>
      </c>
      <c r="H8" s="16">
        <f>SUMIFS(Transactions!$D:$D,Transactions!$C:$C,$U8,Transactions!$A:$A,"&gt;="&amp;DATE(Dashboard!$B$5,7,1),Transactions!$A:$A,"&lt;"&amp;DATE(Dashboard!$B$5,8,1))</f>
        <v/>
      </c>
      <c r="I8" s="16">
        <f>SUMIFS(Transactions!$D:$D,Transactions!$C:$C,$U8,Transactions!$A:$A,"&gt;="&amp;DATE(Dashboard!$B$5,8,1),Transactions!$A:$A,"&lt;"&amp;DATE(Dashboard!$B$5,9,1))</f>
        <v/>
      </c>
      <c r="J8" s="16">
        <f>SUMIFS(Transactions!$D:$D,Transactions!$C:$C,$U8,Transactions!$A:$A,"&gt;="&amp;DATE(Dashboard!$B$5,9,1),Transactions!$A:$A,"&lt;"&amp;DATE(Dashboard!$B$5,10,1))</f>
        <v/>
      </c>
      <c r="K8" s="16">
        <f>SUMIFS(Transactions!$D:$D,Transactions!$C:$C,$U8,Transactions!$A:$A,"&gt;="&amp;DATE(Dashboard!$B$5,10,1),Transactions!$A:$A,"&lt;"&amp;DATE(Dashboard!$B$5,11,1))</f>
        <v/>
      </c>
      <c r="L8" s="16">
        <f>SUMIFS(Transactions!$D:$D,Transactions!$C:$C,$U8,Transactions!$A:$A,"&gt;="&amp;DATE(Dashboard!$B$5,11,1),Transactions!$A:$A,"&lt;"&amp;DATE(Dashboard!$B$5,12,1))</f>
        <v/>
      </c>
      <c r="M8" s="16">
        <f>SUMIFS(Transactions!$D:$D,Transactions!$C:$C,$U8,Transactions!$A:$A,"&gt;="&amp;DATE(Dashboard!$B$5,12,1),Transactions!$A:$A,"&lt;"&amp;DATE(Dashboard!$B$5,13,1))</f>
        <v/>
      </c>
      <c r="N8" s="16">
        <f>SUM(B8:M8)</f>
        <v/>
      </c>
      <c r="O8" s="16">
        <f>Budget!D8</f>
        <v/>
      </c>
      <c r="P8" s="16">
        <f>ROUND(O8-N8,2)</f>
        <v/>
      </c>
      <c r="Q8" s="27">
        <f>IF(O8=0,"",N8/O8)</f>
        <v/>
      </c>
      <c r="R8" s="16">
        <f>Budget!C8</f>
        <v/>
      </c>
      <c r="S8" s="16">
        <f>IF(ISNUMBER(Dashboard!$F$5),INDEX(B8:M8,1,MONTH(Dashboard!$F$5)),0)</f>
        <v/>
      </c>
      <c r="T8" s="16">
        <f>ROUND(R8-S8,2)</f>
        <v/>
      </c>
      <c r="U8">
        <f>SUBSTITUTE(SUBSTITUTE(SUBSTITUTE($A8,"~","~~"),"*","~*"),"?","~?")</f>
        <v/>
      </c>
    </row>
    <row r="9">
      <c r="A9">
        <f>IF(Budget!A9="","(unused)",Budget!A9)</f>
        <v/>
      </c>
      <c r="B9" s="16">
        <f>SUMIFS(Transactions!$D:$D,Transactions!$C:$C,$U9,Transactions!$A:$A,"&gt;="&amp;DATE(Dashboard!$B$5,1,1),Transactions!$A:$A,"&lt;"&amp;DATE(Dashboard!$B$5,2,1))</f>
        <v/>
      </c>
      <c r="C9" s="16">
        <f>SUMIFS(Transactions!$D:$D,Transactions!$C:$C,$U9,Transactions!$A:$A,"&gt;="&amp;DATE(Dashboard!$B$5,2,1),Transactions!$A:$A,"&lt;"&amp;DATE(Dashboard!$B$5,3,1))</f>
        <v/>
      </c>
      <c r="D9" s="16">
        <f>SUMIFS(Transactions!$D:$D,Transactions!$C:$C,$U9,Transactions!$A:$A,"&gt;="&amp;DATE(Dashboard!$B$5,3,1),Transactions!$A:$A,"&lt;"&amp;DATE(Dashboard!$B$5,4,1))</f>
        <v/>
      </c>
      <c r="E9" s="16">
        <f>SUMIFS(Transactions!$D:$D,Transactions!$C:$C,$U9,Transactions!$A:$A,"&gt;="&amp;DATE(Dashboard!$B$5,4,1),Transactions!$A:$A,"&lt;"&amp;DATE(Dashboard!$B$5,5,1))</f>
        <v/>
      </c>
      <c r="F9" s="16">
        <f>SUMIFS(Transactions!$D:$D,Transactions!$C:$C,$U9,Transactions!$A:$A,"&gt;="&amp;DATE(Dashboard!$B$5,5,1),Transactions!$A:$A,"&lt;"&amp;DATE(Dashboard!$B$5,6,1))</f>
        <v/>
      </c>
      <c r="G9" s="16">
        <f>SUMIFS(Transactions!$D:$D,Transactions!$C:$C,$U9,Transactions!$A:$A,"&gt;="&amp;DATE(Dashboard!$B$5,6,1),Transactions!$A:$A,"&lt;"&amp;DATE(Dashboard!$B$5,7,1))</f>
        <v/>
      </c>
      <c r="H9" s="16">
        <f>SUMIFS(Transactions!$D:$D,Transactions!$C:$C,$U9,Transactions!$A:$A,"&gt;="&amp;DATE(Dashboard!$B$5,7,1),Transactions!$A:$A,"&lt;"&amp;DATE(Dashboard!$B$5,8,1))</f>
        <v/>
      </c>
      <c r="I9" s="16">
        <f>SUMIFS(Transactions!$D:$D,Transactions!$C:$C,$U9,Transactions!$A:$A,"&gt;="&amp;DATE(Dashboard!$B$5,8,1),Transactions!$A:$A,"&lt;"&amp;DATE(Dashboard!$B$5,9,1))</f>
        <v/>
      </c>
      <c r="J9" s="16">
        <f>SUMIFS(Transactions!$D:$D,Transactions!$C:$C,$U9,Transactions!$A:$A,"&gt;="&amp;DATE(Dashboard!$B$5,9,1),Transactions!$A:$A,"&lt;"&amp;DATE(Dashboard!$B$5,10,1))</f>
        <v/>
      </c>
      <c r="K9" s="16">
        <f>SUMIFS(Transactions!$D:$D,Transactions!$C:$C,$U9,Transactions!$A:$A,"&gt;="&amp;DATE(Dashboard!$B$5,10,1),Transactions!$A:$A,"&lt;"&amp;DATE(Dashboard!$B$5,11,1))</f>
        <v/>
      </c>
      <c r="L9" s="16">
        <f>SUMIFS(Transactions!$D:$D,Transactions!$C:$C,$U9,Transactions!$A:$A,"&gt;="&amp;DATE(Dashboard!$B$5,11,1),Transactions!$A:$A,"&lt;"&amp;DATE(Dashboard!$B$5,12,1))</f>
        <v/>
      </c>
      <c r="M9" s="16">
        <f>SUMIFS(Transactions!$D:$D,Transactions!$C:$C,$U9,Transactions!$A:$A,"&gt;="&amp;DATE(Dashboard!$B$5,12,1),Transactions!$A:$A,"&lt;"&amp;DATE(Dashboard!$B$5,13,1))</f>
        <v/>
      </c>
      <c r="N9" s="16">
        <f>SUM(B9:M9)</f>
        <v/>
      </c>
      <c r="O9" s="16">
        <f>Budget!D9</f>
        <v/>
      </c>
      <c r="P9" s="16">
        <f>ROUND(O9-N9,2)</f>
        <v/>
      </c>
      <c r="Q9" s="27">
        <f>IF(O9=0,"",N9/O9)</f>
        <v/>
      </c>
      <c r="R9" s="16">
        <f>Budget!C9</f>
        <v/>
      </c>
      <c r="S9" s="16">
        <f>IF(ISNUMBER(Dashboard!$F$5),INDEX(B9:M9,1,MONTH(Dashboard!$F$5)),0)</f>
        <v/>
      </c>
      <c r="T9" s="16">
        <f>ROUND(R9-S9,2)</f>
        <v/>
      </c>
      <c r="U9">
        <f>SUBSTITUTE(SUBSTITUTE(SUBSTITUTE($A9,"~","~~"),"*","~*"),"?","~?")</f>
        <v/>
      </c>
    </row>
    <row r="10">
      <c r="A10">
        <f>IF(Budget!A10="","(unused)",Budget!A10)</f>
        <v/>
      </c>
      <c r="B10" s="16">
        <f>SUMIFS(Transactions!$D:$D,Transactions!$C:$C,$U10,Transactions!$A:$A,"&gt;="&amp;DATE(Dashboard!$B$5,1,1),Transactions!$A:$A,"&lt;"&amp;DATE(Dashboard!$B$5,2,1))</f>
        <v/>
      </c>
      <c r="C10" s="16">
        <f>SUMIFS(Transactions!$D:$D,Transactions!$C:$C,$U10,Transactions!$A:$A,"&gt;="&amp;DATE(Dashboard!$B$5,2,1),Transactions!$A:$A,"&lt;"&amp;DATE(Dashboard!$B$5,3,1))</f>
        <v/>
      </c>
      <c r="D10" s="16">
        <f>SUMIFS(Transactions!$D:$D,Transactions!$C:$C,$U10,Transactions!$A:$A,"&gt;="&amp;DATE(Dashboard!$B$5,3,1),Transactions!$A:$A,"&lt;"&amp;DATE(Dashboard!$B$5,4,1))</f>
        <v/>
      </c>
      <c r="E10" s="16">
        <f>SUMIFS(Transactions!$D:$D,Transactions!$C:$C,$U10,Transactions!$A:$A,"&gt;="&amp;DATE(Dashboard!$B$5,4,1),Transactions!$A:$A,"&lt;"&amp;DATE(Dashboard!$B$5,5,1))</f>
        <v/>
      </c>
      <c r="F10" s="16">
        <f>SUMIFS(Transactions!$D:$D,Transactions!$C:$C,$U10,Transactions!$A:$A,"&gt;="&amp;DATE(Dashboard!$B$5,5,1),Transactions!$A:$A,"&lt;"&amp;DATE(Dashboard!$B$5,6,1))</f>
        <v/>
      </c>
      <c r="G10" s="16">
        <f>SUMIFS(Transactions!$D:$D,Transactions!$C:$C,$U10,Transactions!$A:$A,"&gt;="&amp;DATE(Dashboard!$B$5,6,1),Transactions!$A:$A,"&lt;"&amp;DATE(Dashboard!$B$5,7,1))</f>
        <v/>
      </c>
      <c r="H10" s="16">
        <f>SUMIFS(Transactions!$D:$D,Transactions!$C:$C,$U10,Transactions!$A:$A,"&gt;="&amp;DATE(Dashboard!$B$5,7,1),Transactions!$A:$A,"&lt;"&amp;DATE(Dashboard!$B$5,8,1))</f>
        <v/>
      </c>
      <c r="I10" s="16">
        <f>SUMIFS(Transactions!$D:$D,Transactions!$C:$C,$U10,Transactions!$A:$A,"&gt;="&amp;DATE(Dashboard!$B$5,8,1),Transactions!$A:$A,"&lt;"&amp;DATE(Dashboard!$B$5,9,1))</f>
        <v/>
      </c>
      <c r="J10" s="16">
        <f>SUMIFS(Transactions!$D:$D,Transactions!$C:$C,$U10,Transactions!$A:$A,"&gt;="&amp;DATE(Dashboard!$B$5,9,1),Transactions!$A:$A,"&lt;"&amp;DATE(Dashboard!$B$5,10,1))</f>
        <v/>
      </c>
      <c r="K10" s="16">
        <f>SUMIFS(Transactions!$D:$D,Transactions!$C:$C,$U10,Transactions!$A:$A,"&gt;="&amp;DATE(Dashboard!$B$5,10,1),Transactions!$A:$A,"&lt;"&amp;DATE(Dashboard!$B$5,11,1))</f>
        <v/>
      </c>
      <c r="L10" s="16">
        <f>SUMIFS(Transactions!$D:$D,Transactions!$C:$C,$U10,Transactions!$A:$A,"&gt;="&amp;DATE(Dashboard!$B$5,11,1),Transactions!$A:$A,"&lt;"&amp;DATE(Dashboard!$B$5,12,1))</f>
        <v/>
      </c>
      <c r="M10" s="16">
        <f>SUMIFS(Transactions!$D:$D,Transactions!$C:$C,$U10,Transactions!$A:$A,"&gt;="&amp;DATE(Dashboard!$B$5,12,1),Transactions!$A:$A,"&lt;"&amp;DATE(Dashboard!$B$5,13,1))</f>
        <v/>
      </c>
      <c r="N10" s="16">
        <f>SUM(B10:M10)</f>
        <v/>
      </c>
      <c r="O10" s="16">
        <f>Budget!D10</f>
        <v/>
      </c>
      <c r="P10" s="16">
        <f>ROUND(O10-N10,2)</f>
        <v/>
      </c>
      <c r="Q10" s="27">
        <f>IF(O10=0,"",N10/O10)</f>
        <v/>
      </c>
      <c r="R10" s="16">
        <f>Budget!C10</f>
        <v/>
      </c>
      <c r="S10" s="16">
        <f>IF(ISNUMBER(Dashboard!$F$5),INDEX(B10:M10,1,MONTH(Dashboard!$F$5)),0)</f>
        <v/>
      </c>
      <c r="T10" s="16">
        <f>ROUND(R10-S10,2)</f>
        <v/>
      </c>
      <c r="U10">
        <f>SUBSTITUTE(SUBSTITUTE(SUBSTITUTE($A10,"~","~~"),"*","~*"),"?","~?")</f>
        <v/>
      </c>
    </row>
    <row r="11">
      <c r="A11">
        <f>IF(Budget!A11="","(unused)",Budget!A11)</f>
        <v/>
      </c>
      <c r="B11" s="16">
        <f>SUMIFS(Transactions!$D:$D,Transactions!$C:$C,$U11,Transactions!$A:$A,"&gt;="&amp;DATE(Dashboard!$B$5,1,1),Transactions!$A:$A,"&lt;"&amp;DATE(Dashboard!$B$5,2,1))</f>
        <v/>
      </c>
      <c r="C11" s="16">
        <f>SUMIFS(Transactions!$D:$D,Transactions!$C:$C,$U11,Transactions!$A:$A,"&gt;="&amp;DATE(Dashboard!$B$5,2,1),Transactions!$A:$A,"&lt;"&amp;DATE(Dashboard!$B$5,3,1))</f>
        <v/>
      </c>
      <c r="D11" s="16">
        <f>SUMIFS(Transactions!$D:$D,Transactions!$C:$C,$U11,Transactions!$A:$A,"&gt;="&amp;DATE(Dashboard!$B$5,3,1),Transactions!$A:$A,"&lt;"&amp;DATE(Dashboard!$B$5,4,1))</f>
        <v/>
      </c>
      <c r="E11" s="16">
        <f>SUMIFS(Transactions!$D:$D,Transactions!$C:$C,$U11,Transactions!$A:$A,"&gt;="&amp;DATE(Dashboard!$B$5,4,1),Transactions!$A:$A,"&lt;"&amp;DATE(Dashboard!$B$5,5,1))</f>
        <v/>
      </c>
      <c r="F11" s="16">
        <f>SUMIFS(Transactions!$D:$D,Transactions!$C:$C,$U11,Transactions!$A:$A,"&gt;="&amp;DATE(Dashboard!$B$5,5,1),Transactions!$A:$A,"&lt;"&amp;DATE(Dashboard!$B$5,6,1))</f>
        <v/>
      </c>
      <c r="G11" s="16">
        <f>SUMIFS(Transactions!$D:$D,Transactions!$C:$C,$U11,Transactions!$A:$A,"&gt;="&amp;DATE(Dashboard!$B$5,6,1),Transactions!$A:$A,"&lt;"&amp;DATE(Dashboard!$B$5,7,1))</f>
        <v/>
      </c>
      <c r="H11" s="16">
        <f>SUMIFS(Transactions!$D:$D,Transactions!$C:$C,$U11,Transactions!$A:$A,"&gt;="&amp;DATE(Dashboard!$B$5,7,1),Transactions!$A:$A,"&lt;"&amp;DATE(Dashboard!$B$5,8,1))</f>
        <v/>
      </c>
      <c r="I11" s="16">
        <f>SUMIFS(Transactions!$D:$D,Transactions!$C:$C,$U11,Transactions!$A:$A,"&gt;="&amp;DATE(Dashboard!$B$5,8,1),Transactions!$A:$A,"&lt;"&amp;DATE(Dashboard!$B$5,9,1))</f>
        <v/>
      </c>
      <c r="J11" s="16">
        <f>SUMIFS(Transactions!$D:$D,Transactions!$C:$C,$U11,Transactions!$A:$A,"&gt;="&amp;DATE(Dashboard!$B$5,9,1),Transactions!$A:$A,"&lt;"&amp;DATE(Dashboard!$B$5,10,1))</f>
        <v/>
      </c>
      <c r="K11" s="16">
        <f>SUMIFS(Transactions!$D:$D,Transactions!$C:$C,$U11,Transactions!$A:$A,"&gt;="&amp;DATE(Dashboard!$B$5,10,1),Transactions!$A:$A,"&lt;"&amp;DATE(Dashboard!$B$5,11,1))</f>
        <v/>
      </c>
      <c r="L11" s="16">
        <f>SUMIFS(Transactions!$D:$D,Transactions!$C:$C,$U11,Transactions!$A:$A,"&gt;="&amp;DATE(Dashboard!$B$5,11,1),Transactions!$A:$A,"&lt;"&amp;DATE(Dashboard!$B$5,12,1))</f>
        <v/>
      </c>
      <c r="M11" s="16">
        <f>SUMIFS(Transactions!$D:$D,Transactions!$C:$C,$U11,Transactions!$A:$A,"&gt;="&amp;DATE(Dashboard!$B$5,12,1),Transactions!$A:$A,"&lt;"&amp;DATE(Dashboard!$B$5,13,1))</f>
        <v/>
      </c>
      <c r="N11" s="16">
        <f>SUM(B11:M11)</f>
        <v/>
      </c>
      <c r="O11" s="16">
        <f>Budget!D11</f>
        <v/>
      </c>
      <c r="P11" s="16">
        <f>ROUND(O11-N11,2)</f>
        <v/>
      </c>
      <c r="Q11" s="27">
        <f>IF(O11=0,"",N11/O11)</f>
        <v/>
      </c>
      <c r="R11" s="16">
        <f>Budget!C11</f>
        <v/>
      </c>
      <c r="S11" s="16">
        <f>IF(ISNUMBER(Dashboard!$F$5),INDEX(B11:M11,1,MONTH(Dashboard!$F$5)),0)</f>
        <v/>
      </c>
      <c r="T11" s="16">
        <f>ROUND(R11-S11,2)</f>
        <v/>
      </c>
      <c r="U11">
        <f>SUBSTITUTE(SUBSTITUTE(SUBSTITUTE($A11,"~","~~"),"*","~*"),"?","~?")</f>
        <v/>
      </c>
    </row>
    <row r="12">
      <c r="A12">
        <f>IF(Budget!A12="","(unused)",Budget!A12)</f>
        <v/>
      </c>
      <c r="B12" s="16">
        <f>SUMIFS(Transactions!$D:$D,Transactions!$C:$C,$U12,Transactions!$A:$A,"&gt;="&amp;DATE(Dashboard!$B$5,1,1),Transactions!$A:$A,"&lt;"&amp;DATE(Dashboard!$B$5,2,1))</f>
        <v/>
      </c>
      <c r="C12" s="16">
        <f>SUMIFS(Transactions!$D:$D,Transactions!$C:$C,$U12,Transactions!$A:$A,"&gt;="&amp;DATE(Dashboard!$B$5,2,1),Transactions!$A:$A,"&lt;"&amp;DATE(Dashboard!$B$5,3,1))</f>
        <v/>
      </c>
      <c r="D12" s="16">
        <f>SUMIFS(Transactions!$D:$D,Transactions!$C:$C,$U12,Transactions!$A:$A,"&gt;="&amp;DATE(Dashboard!$B$5,3,1),Transactions!$A:$A,"&lt;"&amp;DATE(Dashboard!$B$5,4,1))</f>
        <v/>
      </c>
      <c r="E12" s="16">
        <f>SUMIFS(Transactions!$D:$D,Transactions!$C:$C,$U12,Transactions!$A:$A,"&gt;="&amp;DATE(Dashboard!$B$5,4,1),Transactions!$A:$A,"&lt;"&amp;DATE(Dashboard!$B$5,5,1))</f>
        <v/>
      </c>
      <c r="F12" s="16">
        <f>SUMIFS(Transactions!$D:$D,Transactions!$C:$C,$U12,Transactions!$A:$A,"&gt;="&amp;DATE(Dashboard!$B$5,5,1),Transactions!$A:$A,"&lt;"&amp;DATE(Dashboard!$B$5,6,1))</f>
        <v/>
      </c>
      <c r="G12" s="16">
        <f>SUMIFS(Transactions!$D:$D,Transactions!$C:$C,$U12,Transactions!$A:$A,"&gt;="&amp;DATE(Dashboard!$B$5,6,1),Transactions!$A:$A,"&lt;"&amp;DATE(Dashboard!$B$5,7,1))</f>
        <v/>
      </c>
      <c r="H12" s="16">
        <f>SUMIFS(Transactions!$D:$D,Transactions!$C:$C,$U12,Transactions!$A:$A,"&gt;="&amp;DATE(Dashboard!$B$5,7,1),Transactions!$A:$A,"&lt;"&amp;DATE(Dashboard!$B$5,8,1))</f>
        <v/>
      </c>
      <c r="I12" s="16">
        <f>SUMIFS(Transactions!$D:$D,Transactions!$C:$C,$U12,Transactions!$A:$A,"&gt;="&amp;DATE(Dashboard!$B$5,8,1),Transactions!$A:$A,"&lt;"&amp;DATE(Dashboard!$B$5,9,1))</f>
        <v/>
      </c>
      <c r="J12" s="16">
        <f>SUMIFS(Transactions!$D:$D,Transactions!$C:$C,$U12,Transactions!$A:$A,"&gt;="&amp;DATE(Dashboard!$B$5,9,1),Transactions!$A:$A,"&lt;"&amp;DATE(Dashboard!$B$5,10,1))</f>
        <v/>
      </c>
      <c r="K12" s="16">
        <f>SUMIFS(Transactions!$D:$D,Transactions!$C:$C,$U12,Transactions!$A:$A,"&gt;="&amp;DATE(Dashboard!$B$5,10,1),Transactions!$A:$A,"&lt;"&amp;DATE(Dashboard!$B$5,11,1))</f>
        <v/>
      </c>
      <c r="L12" s="16">
        <f>SUMIFS(Transactions!$D:$D,Transactions!$C:$C,$U12,Transactions!$A:$A,"&gt;="&amp;DATE(Dashboard!$B$5,11,1),Transactions!$A:$A,"&lt;"&amp;DATE(Dashboard!$B$5,12,1))</f>
        <v/>
      </c>
      <c r="M12" s="16">
        <f>SUMIFS(Transactions!$D:$D,Transactions!$C:$C,$U12,Transactions!$A:$A,"&gt;="&amp;DATE(Dashboard!$B$5,12,1),Transactions!$A:$A,"&lt;"&amp;DATE(Dashboard!$B$5,13,1))</f>
        <v/>
      </c>
      <c r="N12" s="16">
        <f>SUM(B12:M12)</f>
        <v/>
      </c>
      <c r="O12" s="16">
        <f>Budget!D12</f>
        <v/>
      </c>
      <c r="P12" s="16">
        <f>ROUND(O12-N12,2)</f>
        <v/>
      </c>
      <c r="Q12" s="27">
        <f>IF(O12=0,"",N12/O12)</f>
        <v/>
      </c>
      <c r="R12" s="16">
        <f>Budget!C12</f>
        <v/>
      </c>
      <c r="S12" s="16">
        <f>IF(ISNUMBER(Dashboard!$F$5),INDEX(B12:M12,1,MONTH(Dashboard!$F$5)),0)</f>
        <v/>
      </c>
      <c r="T12" s="16">
        <f>ROUND(R12-S12,2)</f>
        <v/>
      </c>
      <c r="U12">
        <f>SUBSTITUTE(SUBSTITUTE(SUBSTITUTE($A12,"~","~~"),"*","~*"),"?","~?")</f>
        <v/>
      </c>
    </row>
    <row r="13">
      <c r="A13">
        <f>IF(Budget!A13="","(unused)",Budget!A13)</f>
        <v/>
      </c>
      <c r="B13" s="16">
        <f>SUMIFS(Transactions!$D:$D,Transactions!$C:$C,$U13,Transactions!$A:$A,"&gt;="&amp;DATE(Dashboard!$B$5,1,1),Transactions!$A:$A,"&lt;"&amp;DATE(Dashboard!$B$5,2,1))</f>
        <v/>
      </c>
      <c r="C13" s="16">
        <f>SUMIFS(Transactions!$D:$D,Transactions!$C:$C,$U13,Transactions!$A:$A,"&gt;="&amp;DATE(Dashboard!$B$5,2,1),Transactions!$A:$A,"&lt;"&amp;DATE(Dashboard!$B$5,3,1))</f>
        <v/>
      </c>
      <c r="D13" s="16">
        <f>SUMIFS(Transactions!$D:$D,Transactions!$C:$C,$U13,Transactions!$A:$A,"&gt;="&amp;DATE(Dashboard!$B$5,3,1),Transactions!$A:$A,"&lt;"&amp;DATE(Dashboard!$B$5,4,1))</f>
        <v/>
      </c>
      <c r="E13" s="16">
        <f>SUMIFS(Transactions!$D:$D,Transactions!$C:$C,$U13,Transactions!$A:$A,"&gt;="&amp;DATE(Dashboard!$B$5,4,1),Transactions!$A:$A,"&lt;"&amp;DATE(Dashboard!$B$5,5,1))</f>
        <v/>
      </c>
      <c r="F13" s="16">
        <f>SUMIFS(Transactions!$D:$D,Transactions!$C:$C,$U13,Transactions!$A:$A,"&gt;="&amp;DATE(Dashboard!$B$5,5,1),Transactions!$A:$A,"&lt;"&amp;DATE(Dashboard!$B$5,6,1))</f>
        <v/>
      </c>
      <c r="G13" s="16">
        <f>SUMIFS(Transactions!$D:$D,Transactions!$C:$C,$U13,Transactions!$A:$A,"&gt;="&amp;DATE(Dashboard!$B$5,6,1),Transactions!$A:$A,"&lt;"&amp;DATE(Dashboard!$B$5,7,1))</f>
        <v/>
      </c>
      <c r="H13" s="16">
        <f>SUMIFS(Transactions!$D:$D,Transactions!$C:$C,$U13,Transactions!$A:$A,"&gt;="&amp;DATE(Dashboard!$B$5,7,1),Transactions!$A:$A,"&lt;"&amp;DATE(Dashboard!$B$5,8,1))</f>
        <v/>
      </c>
      <c r="I13" s="16">
        <f>SUMIFS(Transactions!$D:$D,Transactions!$C:$C,$U13,Transactions!$A:$A,"&gt;="&amp;DATE(Dashboard!$B$5,8,1),Transactions!$A:$A,"&lt;"&amp;DATE(Dashboard!$B$5,9,1))</f>
        <v/>
      </c>
      <c r="J13" s="16">
        <f>SUMIFS(Transactions!$D:$D,Transactions!$C:$C,$U13,Transactions!$A:$A,"&gt;="&amp;DATE(Dashboard!$B$5,9,1),Transactions!$A:$A,"&lt;"&amp;DATE(Dashboard!$B$5,10,1))</f>
        <v/>
      </c>
      <c r="K13" s="16">
        <f>SUMIFS(Transactions!$D:$D,Transactions!$C:$C,$U13,Transactions!$A:$A,"&gt;="&amp;DATE(Dashboard!$B$5,10,1),Transactions!$A:$A,"&lt;"&amp;DATE(Dashboard!$B$5,11,1))</f>
        <v/>
      </c>
      <c r="L13" s="16">
        <f>SUMIFS(Transactions!$D:$D,Transactions!$C:$C,$U13,Transactions!$A:$A,"&gt;="&amp;DATE(Dashboard!$B$5,11,1),Transactions!$A:$A,"&lt;"&amp;DATE(Dashboard!$B$5,12,1))</f>
        <v/>
      </c>
      <c r="M13" s="16">
        <f>SUMIFS(Transactions!$D:$D,Transactions!$C:$C,$U13,Transactions!$A:$A,"&gt;="&amp;DATE(Dashboard!$B$5,12,1),Transactions!$A:$A,"&lt;"&amp;DATE(Dashboard!$B$5,13,1))</f>
        <v/>
      </c>
      <c r="N13" s="16">
        <f>SUM(B13:M13)</f>
        <v/>
      </c>
      <c r="O13" s="16">
        <f>Budget!D13</f>
        <v/>
      </c>
      <c r="P13" s="16">
        <f>ROUND(O13-N13,2)</f>
        <v/>
      </c>
      <c r="Q13" s="27">
        <f>IF(O13=0,"",N13/O13)</f>
        <v/>
      </c>
      <c r="R13" s="16">
        <f>Budget!C13</f>
        <v/>
      </c>
      <c r="S13" s="16">
        <f>IF(ISNUMBER(Dashboard!$F$5),INDEX(B13:M13,1,MONTH(Dashboard!$F$5)),0)</f>
        <v/>
      </c>
      <c r="T13" s="16">
        <f>ROUND(R13-S13,2)</f>
        <v/>
      </c>
      <c r="U13">
        <f>SUBSTITUTE(SUBSTITUTE(SUBSTITUTE($A13,"~","~~"),"*","~*"),"?","~?")</f>
        <v/>
      </c>
    </row>
    <row r="14">
      <c r="A14">
        <f>IF(Budget!A14="","(unused)",Budget!A14)</f>
        <v/>
      </c>
      <c r="B14" s="16">
        <f>SUMIFS(Transactions!$D:$D,Transactions!$C:$C,$U14,Transactions!$A:$A,"&gt;="&amp;DATE(Dashboard!$B$5,1,1),Transactions!$A:$A,"&lt;"&amp;DATE(Dashboard!$B$5,2,1))</f>
        <v/>
      </c>
      <c r="C14" s="16">
        <f>SUMIFS(Transactions!$D:$D,Transactions!$C:$C,$U14,Transactions!$A:$A,"&gt;="&amp;DATE(Dashboard!$B$5,2,1),Transactions!$A:$A,"&lt;"&amp;DATE(Dashboard!$B$5,3,1))</f>
        <v/>
      </c>
      <c r="D14" s="16">
        <f>SUMIFS(Transactions!$D:$D,Transactions!$C:$C,$U14,Transactions!$A:$A,"&gt;="&amp;DATE(Dashboard!$B$5,3,1),Transactions!$A:$A,"&lt;"&amp;DATE(Dashboard!$B$5,4,1))</f>
        <v/>
      </c>
      <c r="E14" s="16">
        <f>SUMIFS(Transactions!$D:$D,Transactions!$C:$C,$U14,Transactions!$A:$A,"&gt;="&amp;DATE(Dashboard!$B$5,4,1),Transactions!$A:$A,"&lt;"&amp;DATE(Dashboard!$B$5,5,1))</f>
        <v/>
      </c>
      <c r="F14" s="16">
        <f>SUMIFS(Transactions!$D:$D,Transactions!$C:$C,$U14,Transactions!$A:$A,"&gt;="&amp;DATE(Dashboard!$B$5,5,1),Transactions!$A:$A,"&lt;"&amp;DATE(Dashboard!$B$5,6,1))</f>
        <v/>
      </c>
      <c r="G14" s="16">
        <f>SUMIFS(Transactions!$D:$D,Transactions!$C:$C,$U14,Transactions!$A:$A,"&gt;="&amp;DATE(Dashboard!$B$5,6,1),Transactions!$A:$A,"&lt;"&amp;DATE(Dashboard!$B$5,7,1))</f>
        <v/>
      </c>
      <c r="H14" s="16">
        <f>SUMIFS(Transactions!$D:$D,Transactions!$C:$C,$U14,Transactions!$A:$A,"&gt;="&amp;DATE(Dashboard!$B$5,7,1),Transactions!$A:$A,"&lt;"&amp;DATE(Dashboard!$B$5,8,1))</f>
        <v/>
      </c>
      <c r="I14" s="16">
        <f>SUMIFS(Transactions!$D:$D,Transactions!$C:$C,$U14,Transactions!$A:$A,"&gt;="&amp;DATE(Dashboard!$B$5,8,1),Transactions!$A:$A,"&lt;"&amp;DATE(Dashboard!$B$5,9,1))</f>
        <v/>
      </c>
      <c r="J14" s="16">
        <f>SUMIFS(Transactions!$D:$D,Transactions!$C:$C,$U14,Transactions!$A:$A,"&gt;="&amp;DATE(Dashboard!$B$5,9,1),Transactions!$A:$A,"&lt;"&amp;DATE(Dashboard!$B$5,10,1))</f>
        <v/>
      </c>
      <c r="K14" s="16">
        <f>SUMIFS(Transactions!$D:$D,Transactions!$C:$C,$U14,Transactions!$A:$A,"&gt;="&amp;DATE(Dashboard!$B$5,10,1),Transactions!$A:$A,"&lt;"&amp;DATE(Dashboard!$B$5,11,1))</f>
        <v/>
      </c>
      <c r="L14" s="16">
        <f>SUMIFS(Transactions!$D:$D,Transactions!$C:$C,$U14,Transactions!$A:$A,"&gt;="&amp;DATE(Dashboard!$B$5,11,1),Transactions!$A:$A,"&lt;"&amp;DATE(Dashboard!$B$5,12,1))</f>
        <v/>
      </c>
      <c r="M14" s="16">
        <f>SUMIFS(Transactions!$D:$D,Transactions!$C:$C,$U14,Transactions!$A:$A,"&gt;="&amp;DATE(Dashboard!$B$5,12,1),Transactions!$A:$A,"&lt;"&amp;DATE(Dashboard!$B$5,13,1))</f>
        <v/>
      </c>
      <c r="N14" s="16">
        <f>SUM(B14:M14)</f>
        <v/>
      </c>
      <c r="O14" s="16">
        <f>Budget!D14</f>
        <v/>
      </c>
      <c r="P14" s="16">
        <f>ROUND(O14-N14,2)</f>
        <v/>
      </c>
      <c r="Q14" s="27">
        <f>IF(O14=0,"",N14/O14)</f>
        <v/>
      </c>
      <c r="R14" s="16">
        <f>Budget!C14</f>
        <v/>
      </c>
      <c r="S14" s="16">
        <f>IF(ISNUMBER(Dashboard!$F$5),INDEX(B14:M14,1,MONTH(Dashboard!$F$5)),0)</f>
        <v/>
      </c>
      <c r="T14" s="16">
        <f>ROUND(R14-S14,2)</f>
        <v/>
      </c>
      <c r="U14">
        <f>SUBSTITUTE(SUBSTITUTE(SUBSTITUTE($A14,"~","~~"),"*","~*"),"?","~?")</f>
        <v/>
      </c>
    </row>
    <row r="15">
      <c r="A15">
        <f>IF(Budget!A15="","(unused)",Budget!A15)</f>
        <v/>
      </c>
      <c r="B15" s="16">
        <f>SUMIFS(Transactions!$D:$D,Transactions!$C:$C,$U15,Transactions!$A:$A,"&gt;="&amp;DATE(Dashboard!$B$5,1,1),Transactions!$A:$A,"&lt;"&amp;DATE(Dashboard!$B$5,2,1))</f>
        <v/>
      </c>
      <c r="C15" s="16">
        <f>SUMIFS(Transactions!$D:$D,Transactions!$C:$C,$U15,Transactions!$A:$A,"&gt;="&amp;DATE(Dashboard!$B$5,2,1),Transactions!$A:$A,"&lt;"&amp;DATE(Dashboard!$B$5,3,1))</f>
        <v/>
      </c>
      <c r="D15" s="16">
        <f>SUMIFS(Transactions!$D:$D,Transactions!$C:$C,$U15,Transactions!$A:$A,"&gt;="&amp;DATE(Dashboard!$B$5,3,1),Transactions!$A:$A,"&lt;"&amp;DATE(Dashboard!$B$5,4,1))</f>
        <v/>
      </c>
      <c r="E15" s="16">
        <f>SUMIFS(Transactions!$D:$D,Transactions!$C:$C,$U15,Transactions!$A:$A,"&gt;="&amp;DATE(Dashboard!$B$5,4,1),Transactions!$A:$A,"&lt;"&amp;DATE(Dashboard!$B$5,5,1))</f>
        <v/>
      </c>
      <c r="F15" s="16">
        <f>SUMIFS(Transactions!$D:$D,Transactions!$C:$C,$U15,Transactions!$A:$A,"&gt;="&amp;DATE(Dashboard!$B$5,5,1),Transactions!$A:$A,"&lt;"&amp;DATE(Dashboard!$B$5,6,1))</f>
        <v/>
      </c>
      <c r="G15" s="16">
        <f>SUMIFS(Transactions!$D:$D,Transactions!$C:$C,$U15,Transactions!$A:$A,"&gt;="&amp;DATE(Dashboard!$B$5,6,1),Transactions!$A:$A,"&lt;"&amp;DATE(Dashboard!$B$5,7,1))</f>
        <v/>
      </c>
      <c r="H15" s="16">
        <f>SUMIFS(Transactions!$D:$D,Transactions!$C:$C,$U15,Transactions!$A:$A,"&gt;="&amp;DATE(Dashboard!$B$5,7,1),Transactions!$A:$A,"&lt;"&amp;DATE(Dashboard!$B$5,8,1))</f>
        <v/>
      </c>
      <c r="I15" s="16">
        <f>SUMIFS(Transactions!$D:$D,Transactions!$C:$C,$U15,Transactions!$A:$A,"&gt;="&amp;DATE(Dashboard!$B$5,8,1),Transactions!$A:$A,"&lt;"&amp;DATE(Dashboard!$B$5,9,1))</f>
        <v/>
      </c>
      <c r="J15" s="16">
        <f>SUMIFS(Transactions!$D:$D,Transactions!$C:$C,$U15,Transactions!$A:$A,"&gt;="&amp;DATE(Dashboard!$B$5,9,1),Transactions!$A:$A,"&lt;"&amp;DATE(Dashboard!$B$5,10,1))</f>
        <v/>
      </c>
      <c r="K15" s="16">
        <f>SUMIFS(Transactions!$D:$D,Transactions!$C:$C,$U15,Transactions!$A:$A,"&gt;="&amp;DATE(Dashboard!$B$5,10,1),Transactions!$A:$A,"&lt;"&amp;DATE(Dashboard!$B$5,11,1))</f>
        <v/>
      </c>
      <c r="L15" s="16">
        <f>SUMIFS(Transactions!$D:$D,Transactions!$C:$C,$U15,Transactions!$A:$A,"&gt;="&amp;DATE(Dashboard!$B$5,11,1),Transactions!$A:$A,"&lt;"&amp;DATE(Dashboard!$B$5,12,1))</f>
        <v/>
      </c>
      <c r="M15" s="16">
        <f>SUMIFS(Transactions!$D:$D,Transactions!$C:$C,$U15,Transactions!$A:$A,"&gt;="&amp;DATE(Dashboard!$B$5,12,1),Transactions!$A:$A,"&lt;"&amp;DATE(Dashboard!$B$5,13,1))</f>
        <v/>
      </c>
      <c r="N15" s="16">
        <f>SUM(B15:M15)</f>
        <v/>
      </c>
      <c r="O15" s="16">
        <f>Budget!D15</f>
        <v/>
      </c>
      <c r="P15" s="16">
        <f>ROUND(O15-N15,2)</f>
        <v/>
      </c>
      <c r="Q15" s="27">
        <f>IF(O15=0,"",N15/O15)</f>
        <v/>
      </c>
      <c r="R15" s="16">
        <f>Budget!C15</f>
        <v/>
      </c>
      <c r="S15" s="16">
        <f>IF(ISNUMBER(Dashboard!$F$5),INDEX(B15:M15,1,MONTH(Dashboard!$F$5)),0)</f>
        <v/>
      </c>
      <c r="T15" s="16">
        <f>ROUND(R15-S15,2)</f>
        <v/>
      </c>
      <c r="U15">
        <f>SUBSTITUTE(SUBSTITUTE(SUBSTITUTE($A15,"~","~~"),"*","~*"),"?","~?")</f>
        <v/>
      </c>
    </row>
    <row r="17">
      <c r="A17" s="17" t="inlineStr">
        <is>
          <t>Total spent</t>
        </is>
      </c>
      <c r="B17" s="18">
        <f>SUM(B2:B13)</f>
        <v/>
      </c>
      <c r="C17" s="18">
        <f>SUM(C2:C13)</f>
        <v/>
      </c>
      <c r="D17" s="18">
        <f>SUM(D2:D13)</f>
        <v/>
      </c>
      <c r="E17" s="18">
        <f>SUM(E2:E13)</f>
        <v/>
      </c>
      <c r="F17" s="18">
        <f>SUM(F2:F13)</f>
        <v/>
      </c>
      <c r="G17" s="18">
        <f>SUM(G2:G13)</f>
        <v/>
      </c>
      <c r="H17" s="18">
        <f>SUM(H2:H13)</f>
        <v/>
      </c>
      <c r="I17" s="18">
        <f>SUM(I2:I13)</f>
        <v/>
      </c>
      <c r="J17" s="18">
        <f>SUM(J2:J13)</f>
        <v/>
      </c>
      <c r="K17" s="18">
        <f>SUM(K2:K13)</f>
        <v/>
      </c>
      <c r="L17" s="18">
        <f>SUM(L2:L13)</f>
        <v/>
      </c>
      <c r="M17" s="18">
        <f>SUM(M2:M13)</f>
        <v/>
      </c>
      <c r="N17" s="18">
        <f>SUM(N2:N13)</f>
        <v/>
      </c>
      <c r="O17" s="18">
        <f>SUM(O2:O13)</f>
        <v/>
      </c>
      <c r="P17" s="18">
        <f>ROUND(O17-N17,2)</f>
        <v/>
      </c>
      <c r="Q17" s="28">
        <f>IF(O17=0,"",N17/O17)</f>
        <v/>
      </c>
      <c r="R17" s="18">
        <f>SUM(R2:R13)</f>
        <v/>
      </c>
      <c r="S17" s="18">
        <f>SUM(S2:S13)</f>
        <v/>
      </c>
      <c r="T17" s="18">
        <f>ROUND(R17-S17,2)</f>
        <v/>
      </c>
    </row>
    <row r="18">
      <c r="A18" s="22" t="inlineStr">
        <is>
          <t>Total income</t>
        </is>
      </c>
      <c r="B18" s="26">
        <f>SUM(B14:B15)</f>
        <v/>
      </c>
      <c r="C18" s="26">
        <f>SUM(C14:C15)</f>
        <v/>
      </c>
      <c r="D18" s="26">
        <f>SUM(D14:D15)</f>
        <v/>
      </c>
      <c r="E18" s="26">
        <f>SUM(E14:E15)</f>
        <v/>
      </c>
      <c r="F18" s="26">
        <f>SUM(F14:F15)</f>
        <v/>
      </c>
      <c r="G18" s="26">
        <f>SUM(G14:G15)</f>
        <v/>
      </c>
      <c r="H18" s="26">
        <f>SUM(H14:H15)</f>
        <v/>
      </c>
      <c r="I18" s="26">
        <f>SUM(I14:I15)</f>
        <v/>
      </c>
      <c r="J18" s="26">
        <f>SUM(J14:J15)</f>
        <v/>
      </c>
      <c r="K18" s="26">
        <f>SUM(K14:K15)</f>
        <v/>
      </c>
      <c r="L18" s="26">
        <f>SUM(L14:L15)</f>
        <v/>
      </c>
      <c r="M18" s="26">
        <f>SUM(M14:M15)</f>
        <v/>
      </c>
      <c r="N18" s="26">
        <f>SUM(N14:N15)</f>
        <v/>
      </c>
      <c r="O18" s="26">
        <f>SUM(O14:O15)</f>
        <v/>
      </c>
      <c r="P18" s="26">
        <f>ROUND(O18-N18,2)</f>
        <v/>
      </c>
      <c r="Q18" s="29">
        <f>IF(O18=0,"",N18/O18)</f>
        <v/>
      </c>
      <c r="R18" s="26">
        <f>SUM(R14:R15)</f>
        <v/>
      </c>
      <c r="S18" s="26">
        <f>SUM(S14:S15)</f>
        <v/>
      </c>
      <c r="T18" s="26">
        <f>ROUND(R18-S18,2)</f>
        <v/>
      </c>
    </row>
    <row r="19">
      <c r="A19" s="22" t="inlineStr">
        <is>
          <t>Net saved</t>
        </is>
      </c>
      <c r="B19" s="26">
        <f>ROUND(B18-B17,2)</f>
        <v/>
      </c>
      <c r="C19" s="26">
        <f>ROUND(C18-C17,2)</f>
        <v/>
      </c>
      <c r="D19" s="26">
        <f>ROUND(D18-D17,2)</f>
        <v/>
      </c>
      <c r="E19" s="26">
        <f>ROUND(E18-E17,2)</f>
        <v/>
      </c>
      <c r="F19" s="26">
        <f>ROUND(F18-F17,2)</f>
        <v/>
      </c>
      <c r="G19" s="26">
        <f>ROUND(G18-G17,2)</f>
        <v/>
      </c>
      <c r="H19" s="26">
        <f>ROUND(H18-H17,2)</f>
        <v/>
      </c>
      <c r="I19" s="26">
        <f>ROUND(I18-I17,2)</f>
        <v/>
      </c>
      <c r="J19" s="26">
        <f>ROUND(J18-J17,2)</f>
        <v/>
      </c>
      <c r="K19" s="26">
        <f>ROUND(K18-K17,2)</f>
        <v/>
      </c>
      <c r="L19" s="26">
        <f>ROUND(L18-L17,2)</f>
        <v/>
      </c>
      <c r="M19" s="26">
        <f>ROUND(M18-M17,2)</f>
        <v/>
      </c>
      <c r="N19" s="26">
        <f>ROUND(N18-N17,2)</f>
        <v/>
      </c>
      <c r="O19" s="26">
        <f>ROUND(O18-O17,2)</f>
        <v/>
      </c>
      <c r="P19" s="22" t="n"/>
      <c r="Q19" s="22" t="n"/>
      <c r="R19" s="26">
        <f>ROUND(R18-R17,2)</f>
        <v/>
      </c>
      <c r="S19" s="26">
        <f>ROUND(S18-S17,2)</f>
        <v/>
      </c>
      <c r="T19" s="22" t="n"/>
    </row>
    <row r="20">
      <c r="A20" s="21" t="inlineStr">
        <is>
          <t>Check: uncategorized</t>
        </is>
      </c>
      <c r="B20" s="30">
        <f>ROUND(SUMIFS(Transactions!$D:$D,Transactions!$A:$A,"&gt;="&amp;DATE(Dashboard!$B$5,1,1),Transactions!$A:$A,"&lt;"&amp;DATE(Dashboard!$B$5,2,1))-B17-B18,2)</f>
        <v/>
      </c>
      <c r="C20" s="30">
        <f>ROUND(SUMIFS(Transactions!$D:$D,Transactions!$A:$A,"&gt;="&amp;DATE(Dashboard!$B$5,2,1),Transactions!$A:$A,"&lt;"&amp;DATE(Dashboard!$B$5,3,1))-C17-C18,2)</f>
        <v/>
      </c>
      <c r="D20" s="30">
        <f>ROUND(SUMIFS(Transactions!$D:$D,Transactions!$A:$A,"&gt;="&amp;DATE(Dashboard!$B$5,3,1),Transactions!$A:$A,"&lt;"&amp;DATE(Dashboard!$B$5,4,1))-D17-D18,2)</f>
        <v/>
      </c>
      <c r="E20" s="30">
        <f>ROUND(SUMIFS(Transactions!$D:$D,Transactions!$A:$A,"&gt;="&amp;DATE(Dashboard!$B$5,4,1),Transactions!$A:$A,"&lt;"&amp;DATE(Dashboard!$B$5,5,1))-E17-E18,2)</f>
        <v/>
      </c>
      <c r="F20" s="30">
        <f>ROUND(SUMIFS(Transactions!$D:$D,Transactions!$A:$A,"&gt;="&amp;DATE(Dashboard!$B$5,5,1),Transactions!$A:$A,"&lt;"&amp;DATE(Dashboard!$B$5,6,1))-F17-F18,2)</f>
        <v/>
      </c>
      <c r="G20" s="30">
        <f>ROUND(SUMIFS(Transactions!$D:$D,Transactions!$A:$A,"&gt;="&amp;DATE(Dashboard!$B$5,6,1),Transactions!$A:$A,"&lt;"&amp;DATE(Dashboard!$B$5,7,1))-G17-G18,2)</f>
        <v/>
      </c>
      <c r="H20" s="30">
        <f>ROUND(SUMIFS(Transactions!$D:$D,Transactions!$A:$A,"&gt;="&amp;DATE(Dashboard!$B$5,7,1),Transactions!$A:$A,"&lt;"&amp;DATE(Dashboard!$B$5,8,1))-H17-H18,2)</f>
        <v/>
      </c>
      <c r="I20" s="30">
        <f>ROUND(SUMIFS(Transactions!$D:$D,Transactions!$A:$A,"&gt;="&amp;DATE(Dashboard!$B$5,8,1),Transactions!$A:$A,"&lt;"&amp;DATE(Dashboard!$B$5,9,1))-I17-I18,2)</f>
        <v/>
      </c>
      <c r="J20" s="30">
        <f>ROUND(SUMIFS(Transactions!$D:$D,Transactions!$A:$A,"&gt;="&amp;DATE(Dashboard!$B$5,9,1),Transactions!$A:$A,"&lt;"&amp;DATE(Dashboard!$B$5,10,1))-J17-J18,2)</f>
        <v/>
      </c>
      <c r="K20" s="30">
        <f>ROUND(SUMIFS(Transactions!$D:$D,Transactions!$A:$A,"&gt;="&amp;DATE(Dashboard!$B$5,10,1),Transactions!$A:$A,"&lt;"&amp;DATE(Dashboard!$B$5,11,1))-K17-K18,2)</f>
        <v/>
      </c>
      <c r="L20" s="30">
        <f>ROUND(SUMIFS(Transactions!$D:$D,Transactions!$A:$A,"&gt;="&amp;DATE(Dashboard!$B$5,11,1),Transactions!$A:$A,"&lt;"&amp;DATE(Dashboard!$B$5,12,1))-L17-L18,2)</f>
        <v/>
      </c>
      <c r="M20" s="30">
        <f>ROUND(SUMIFS(Transactions!$D:$D,Transactions!$A:$A,"&gt;="&amp;DATE(Dashboard!$B$5,12,1),Transactions!$A:$A,"&lt;"&amp;DATE(Dashboard!$B$5,13,1))-M17-M18,2)</f>
        <v/>
      </c>
      <c r="N20" s="30">
        <f>ROUND(SUMPRODUCT(ABS(B20:M20)),2)</f>
        <v/>
      </c>
      <c r="O20" s="21" t="n"/>
      <c r="P20" s="21" t="n"/>
      <c r="Q20" s="21" t="n"/>
      <c r="R20" s="21" t="n"/>
      <c r="S20" s="21" t="n"/>
      <c r="T20" s="21" t="n"/>
    </row>
    <row r="21">
      <c r="A21" s="21" t="inlineStr">
        <is>
          <t>Check: missing data</t>
        </is>
      </c>
      <c r="B21" s="31">
        <f>SUMPRODUCT((LEN(Transactions!$C$2:$C$10000&amp;Transactions!$D$2:$D$10000)&gt;0)*(ISNUMBER(Transactions!$A$2:$A$10000)*ISNUMBER(Transactions!$D$2:$D$10000)=0))</f>
        <v/>
      </c>
      <c r="C21" s="21" t="n"/>
      <c r="D21" s="21" t="n"/>
      <c r="E21" s="21" t="n"/>
      <c r="F21" s="21" t="n"/>
      <c r="G21" s="21" t="n"/>
      <c r="H21" s="21" t="n"/>
      <c r="I21" s="21" t="n"/>
      <c r="J21" s="21" t="n"/>
      <c r="K21" s="21" t="n"/>
      <c r="L21" s="21" t="n"/>
      <c r="M21" s="21" t="n"/>
      <c r="N21" s="21" t="n"/>
      <c r="O21" s="21" t="n"/>
      <c r="P21" s="21" t="n"/>
      <c r="Q21" s="21" t="n"/>
      <c r="R21" s="21" t="n"/>
      <c r="S21" s="21" t="n"/>
      <c r="T21" s="21" t="n"/>
    </row>
    <row r="22">
      <c r="A22" s="32" t="inlineStr">
        <is>
          <t>Month</t>
        </is>
      </c>
      <c r="B22" s="33" t="inlineStr">
        <is>
          <t>Income</t>
        </is>
      </c>
      <c r="C22" s="33" t="inlineStr">
        <is>
          <t>Spent</t>
        </is>
      </c>
      <c r="D22" s="33" t="inlineStr">
        <is>
          <t>Net Saved</t>
        </is>
      </c>
    </row>
    <row r="23">
      <c r="A23" t="inlineStr">
        <is>
          <t>Jan</t>
        </is>
      </c>
      <c r="B23" s="16">
        <f>B18</f>
        <v/>
      </c>
      <c r="C23" s="16">
        <f>B17</f>
        <v/>
      </c>
      <c r="D23" s="16">
        <f>ROUND(B23-C23,2)</f>
        <v/>
      </c>
    </row>
    <row r="24">
      <c r="A24" t="inlineStr">
        <is>
          <t>Feb</t>
        </is>
      </c>
      <c r="B24" s="16">
        <f>C18</f>
        <v/>
      </c>
      <c r="C24" s="16">
        <f>C17</f>
        <v/>
      </c>
      <c r="D24" s="16">
        <f>ROUND(B24-C24,2)</f>
        <v/>
      </c>
    </row>
    <row r="25">
      <c r="A25" t="inlineStr">
        <is>
          <t>Mar</t>
        </is>
      </c>
      <c r="B25" s="16">
        <f>D18</f>
        <v/>
      </c>
      <c r="C25" s="16">
        <f>D17</f>
        <v/>
      </c>
      <c r="D25" s="16">
        <f>ROUND(B25-C25,2)</f>
        <v/>
      </c>
    </row>
    <row r="26">
      <c r="A26" t="inlineStr">
        <is>
          <t>Apr</t>
        </is>
      </c>
      <c r="B26" s="16">
        <f>E18</f>
        <v/>
      </c>
      <c r="C26" s="16">
        <f>E17</f>
        <v/>
      </c>
      <c r="D26" s="16">
        <f>ROUND(B26-C26,2)</f>
        <v/>
      </c>
    </row>
    <row r="27">
      <c r="A27" t="inlineStr">
        <is>
          <t>May</t>
        </is>
      </c>
      <c r="B27" s="16">
        <f>F18</f>
        <v/>
      </c>
      <c r="C27" s="16">
        <f>F17</f>
        <v/>
      </c>
      <c r="D27" s="16">
        <f>ROUND(B27-C27,2)</f>
        <v/>
      </c>
    </row>
    <row r="28">
      <c r="A28" t="inlineStr">
        <is>
          <t>Jun</t>
        </is>
      </c>
      <c r="B28" s="16">
        <f>G18</f>
        <v/>
      </c>
      <c r="C28" s="16">
        <f>G17</f>
        <v/>
      </c>
      <c r="D28" s="16">
        <f>ROUND(B28-C28,2)</f>
        <v/>
      </c>
    </row>
    <row r="29">
      <c r="A29" t="inlineStr">
        <is>
          <t>Jul</t>
        </is>
      </c>
      <c r="B29" s="16">
        <f>H18</f>
        <v/>
      </c>
      <c r="C29" s="16">
        <f>H17</f>
        <v/>
      </c>
      <c r="D29" s="16">
        <f>ROUND(B29-C29,2)</f>
        <v/>
      </c>
    </row>
    <row r="30">
      <c r="A30" t="inlineStr">
        <is>
          <t>Aug</t>
        </is>
      </c>
      <c r="B30" s="16">
        <f>I18</f>
        <v/>
      </c>
      <c r="C30" s="16">
        <f>I17</f>
        <v/>
      </c>
      <c r="D30" s="16">
        <f>ROUND(B30-C30,2)</f>
        <v/>
      </c>
    </row>
    <row r="31">
      <c r="A31" t="inlineStr">
        <is>
          <t>Sep</t>
        </is>
      </c>
      <c r="B31" s="16">
        <f>J18</f>
        <v/>
      </c>
      <c r="C31" s="16">
        <f>J17</f>
        <v/>
      </c>
      <c r="D31" s="16">
        <f>ROUND(B31-C31,2)</f>
        <v/>
      </c>
    </row>
    <row r="32">
      <c r="A32" t="inlineStr">
        <is>
          <t>Oct</t>
        </is>
      </c>
      <c r="B32" s="16">
        <f>K18</f>
        <v/>
      </c>
      <c r="C32" s="16">
        <f>K17</f>
        <v/>
      </c>
      <c r="D32" s="16">
        <f>ROUND(B32-C32,2)</f>
        <v/>
      </c>
    </row>
    <row r="33">
      <c r="A33" t="inlineStr">
        <is>
          <t>Nov</t>
        </is>
      </c>
      <c r="B33" s="16">
        <f>L18</f>
        <v/>
      </c>
      <c r="C33" s="16">
        <f>L17</f>
        <v/>
      </c>
      <c r="D33" s="16">
        <f>ROUND(B33-C33,2)</f>
        <v/>
      </c>
    </row>
    <row r="34">
      <c r="A34" t="inlineStr">
        <is>
          <t>Dec</t>
        </is>
      </c>
      <c r="B34" s="16">
        <f>M18</f>
        <v/>
      </c>
      <c r="C34" s="16">
        <f>M17</f>
        <v/>
      </c>
      <c r="D34" s="16">
        <f>ROUND(B34-C34,2)</f>
        <v/>
      </c>
    </row>
    <row r="35">
      <c r="A35" s="17" t="inlineStr">
        <is>
          <t>Total</t>
        </is>
      </c>
      <c r="B35" s="18">
        <f>SUM(B23:B34)</f>
        <v/>
      </c>
      <c r="C35" s="18">
        <f>SUM(C23:C34)</f>
        <v/>
      </c>
      <c r="D35" s="18">
        <f>ROUND(B35-C35,2)</f>
        <v/>
      </c>
    </row>
    <row r="37">
      <c r="A37" s="21" t="inlineStr">
        <is>
          <t>The year and the Month columns (R-T) follow the Year and Month picked on the Dashboard.</t>
        </is>
      </c>
    </row>
    <row r="38">
      <c r="A38" s="21" t="inlineStr">
        <is>
          <t>Check: uncategorized should be 0. It is money logged that month whose Category isn't on the Budget list (a negative number means something is counted twice, e.g. two categories with the same name).</t>
        </is>
      </c>
    </row>
    <row r="39">
      <c r="A39" s="21" t="inlineStr">
        <is>
          <t>Check: missing data should be 0. It counts rows whose Date or Amount is blank or isn't a real date/number.</t>
        </is>
      </c>
    </row>
  </sheetData>
  <conditionalFormatting sqref="P2:P13">
    <cfRule type="cellIs" priority="1" operator="lessThan" dxfId="0">
      <formula>0</formula>
    </cfRule>
  </conditionalFormatting>
  <conditionalFormatting sqref="T2:T13">
    <cfRule type="cellIs" priority="2" operator="lessThan" dxfId="0">
      <formula>0</formula>
    </cfRule>
  </conditionalFormatting>
  <conditionalFormatting sqref="P17">
    <cfRule type="cellIs" priority="3" operator="lessThan" dxfId="0">
      <formula>0</formula>
    </cfRule>
  </conditionalFormatting>
  <conditionalFormatting sqref="T17">
    <cfRule type="cellIs" priority="4" operator="lessThan" dxfId="0">
      <formula>0</formula>
    </cfRule>
  </conditionalFormatting>
  <conditionalFormatting sqref="B20:N20">
    <cfRule type="cellIs" priority="5" operator="notEqual" dxfId="0">
      <formula>0</formula>
    </cfRule>
  </conditionalFormatting>
  <conditionalFormatting sqref="B21">
    <cfRule type="cellIs" priority="6" operator="notEqual" dxfId="0">
      <formula>0</formula>
    </cfRule>
  </conditionalFormatting>
  <conditionalFormatting sqref="B2:M15">
    <cfRule type="cellIs" priority="7" operator="lessThan" dxfId="1">
      <formula>0</formula>
    </cfRule>
  </conditionalFormatting>
  <conditionalFormatting sqref="A2:T15">
    <cfRule type="expression" priority="8" dxfId="2">
      <formula>MOD(ROW(),2)=1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2026-10-04T20:20:53Z</dcterms:created>
  <dcterms:modified xsi:type="dcterms:W3CDTF">2026-10-04T20:20:53Z</dcterms:modified>
</cp:coreProperties>
</file>